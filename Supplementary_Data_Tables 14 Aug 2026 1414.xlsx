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1_XRF_Composition" sheetId="1" r:id="rId5"/>
    <sheet state="visible" name="T2_XRD_Phases" sheetId="2" r:id="rId6"/>
    <sheet state="visible" name="T3_BET_ICP" sheetId="3" r:id="rId7"/>
    <sheet state="visible" name="T4_CO2TPD_Sites" sheetId="4" r:id="rId8"/>
    <sheet state="visible" name="T5_CO2TPD_Peaks" sheetId="5" r:id="rId9"/>
    <sheet state="visible" name="AT6_RSM_Design" sheetId="6" r:id="rId10"/>
    <sheet state="visible" name="AT7_Synergy_Factor" sheetId="7" r:id="rId11"/>
    <sheet state="visible" name="T8_Kinetics" sheetId="8" r:id="rId12"/>
    <sheet state="visible" name="T9_Mass_Transfer" sheetId="9" r:id="rId13"/>
    <sheet state="visible" name="T10_Reusability" sheetId="10" r:id="rId14"/>
    <sheet state="visible" name="T11_Literature_Comparison" sheetId="11" r:id="rId15"/>
    <sheet state="visible" name="ATS1_RSM_ANOVA" sheetId="12" r:id="rId16"/>
  </sheets>
  <definedNames/>
  <calcPr/>
</workbook>
</file>

<file path=xl/sharedStrings.xml><?xml version="1.0" encoding="utf-8"?>
<sst xmlns="http://schemas.openxmlformats.org/spreadsheetml/2006/main" count="1111" uniqueCount="604">
  <si>
    <t>Table 1 — Final</t>
  </si>
  <si>
    <t>Oxide</t>
  </si>
  <si>
    <t>Table 3. BET textural properties and elemental concentrations of FA, RHA, BA 1:1, and BA 1:2</t>
  </si>
  <si>
    <t>FA (wt.%)</t>
  </si>
  <si>
    <t>Table 2. Crystalline phase composition of FA, RHA, and BA 1:2 determined by Rietveld refinement</t>
  </si>
  <si>
    <t>RHA (wt.%)</t>
  </si>
  <si>
    <t>BA 1:2 (wt.%)</t>
  </si>
  <si>
    <t>Principal/Relevant Role</t>
  </si>
  <si>
    <t>SiO₂</t>
  </si>
  <si>
    <t>Parameter</t>
  </si>
  <si>
    <t>Mineral phase</t>
  </si>
  <si>
    <t>Siliceous structural/network component</t>
  </si>
  <si>
    <t>Al₂O₃</t>
  </si>
  <si>
    <t>Table 4. CO₂-TPD-derived basic-site distribution of FA, RHA, BA 1:1, and BA 1:2</t>
  </si>
  <si>
    <t>PDF card No.</t>
  </si>
  <si>
    <t>Framework component; Lewis-acidic contribution</t>
  </si>
  <si>
    <t>Fe₂O₃</t>
  </si>
  <si>
    <t>FA</t>
  </si>
  <si>
    <t>Catalyst</t>
  </si>
  <si>
    <t>Quartz (SiO₂)</t>
  </si>
  <si>
    <t>RHA</t>
  </si>
  <si>
    <t>Weak sites (50–200 °C) (μmol CO₂ g⁻¹)</t>
  </si>
  <si>
    <t>Iron-containing mineral phase; potential redox contribution</t>
  </si>
  <si>
    <t>BA 1:1</t>
  </si>
  <si>
    <t>Medium sites (200–400 °C) (μmol CO₂ g⁻¹)</t>
  </si>
  <si>
    <t>CaO</t>
  </si>
  <si>
    <t>BA 1:2</t>
  </si>
  <si>
    <t>Strong sites (&gt;400 °C) (μmol CO₂ g⁻¹)</t>
  </si>
  <si>
    <t>Total basicity (μmol g⁻¹)</t>
  </si>
  <si>
    <t>BET surface area (m² g⁻¹)</t>
  </si>
  <si>
    <t>Basic oxide contributing to surface basicity</t>
  </si>
  <si>
    <t>12.4 ± 0.3</t>
  </si>
  <si>
    <t>K₂O</t>
  </si>
  <si>
    <t>17.4 ± 0.8</t>
  </si>
  <si>
    <t>28.7 ± 0.5</t>
  </si>
  <si>
    <t>11.8 ± 0.6</t>
  </si>
  <si>
    <t>34.6 ± 0.6</t>
  </si>
  <si>
    <t>5.3 ± 0.4</t>
  </si>
  <si>
    <t>41.2 ± 0.7</t>
  </si>
  <si>
    <t>34.5 ± 1.2</t>
  </si>
  <si>
    <t>Alkali oxide contributing to surface basicity</t>
  </si>
  <si>
    <t>Pore volume (cm³ g⁻¹)</t>
  </si>
  <si>
    <t>MgO</t>
  </si>
  <si>
    <t>36.2 ± 1.4</t>
  </si>
  <si>
    <t>27.4 ± 0.9</t>
  </si>
  <si>
    <t>Basic oxide; contributes to surface basicity</t>
  </si>
  <si>
    <t>14.7 ± 0.8</t>
  </si>
  <si>
    <t>Na₂O</t>
  </si>
  <si>
    <t>78.3 ± 2.1</t>
  </si>
  <si>
    <t>0.158 ± 0.004</t>
  </si>
  <si>
    <t>Average pore diameter (nm)</t>
  </si>
  <si>
    <t>Alkali modifier; potential contribution to basicity</t>
  </si>
  <si>
    <t>41.6 ± 1.1</t>
  </si>
  <si>
    <t>37.2 ± 1.3</t>
  </si>
  <si>
    <t>P₂O₅</t>
  </si>
  <si>
    <t>23.8 ± 1.0</t>
  </si>
  <si>
    <t>102.6 ± 1.8</t>
  </si>
  <si>
    <t>15.3 ± 0.3</t>
  </si>
  <si>
    <t>Minor phosphorus-containing component</t>
  </si>
  <si>
    <t>49.3 ± 1.6</t>
  </si>
  <si>
    <t>Extractable K (mg kg⁻¹)</t>
  </si>
  <si>
    <t>TiO₂</t>
  </si>
  <si>
    <t>44.1 ± 1.5</t>
  </si>
  <si>
    <t>31.6 ± 1.2</t>
  </si>
  <si>
    <t>125.0 ± 2.4</t>
  </si>
  <si>
    <t>PDF 01-085-0796</t>
  </si>
  <si>
    <t>Minor refractory mineral component</t>
  </si>
  <si>
    <t>SO₃</t>
  </si>
  <si>
    <t>Mullite (Al₆Si₂O₁₃)</t>
  </si>
  <si>
    <t>Ca (mg kg⁻¹)</t>
  </si>
  <si>
    <t>—</t>
  </si>
  <si>
    <t>Sulfur-containing mineral component</t>
  </si>
  <si>
    <t>PDF 01-079-1275</t>
  </si>
  <si>
    <t>LOI</t>
  </si>
  <si>
    <t>Hematite (Fe₂O₃)</t>
  </si>
  <si>
    <t>Mg (mg kg⁻¹)</t>
  </si>
  <si>
    <t>Loss on ignition; volatile/unburned fraction</t>
  </si>
  <si>
    <t>Total reported</t>
  </si>
  <si>
    <t>PDF 01-087-1166</t>
  </si>
  <si>
    <t>Fe (mg kg⁻¹)</t>
  </si>
  <si>
    <t>Calcite (CaCO₃)</t>
  </si>
  <si>
    <t>PDF 01-083-0577</t>
  </si>
  <si>
    <t>Cristobalite (SiO₂)</t>
  </si>
  <si>
    <t>PDF 01-082-0512</t>
  </si>
  <si>
    <t>Amorphous fraction</t>
  </si>
  <si>
    <t>Total</t>
  </si>
  <si>
    <t>Table 1. XRF oxide composition (wt.%) of FA, RHA, and BA 1:2. Values are mean values from three measurements (n = 3). XRF analysis was performed using a procedure based on ISO 29581-2:2010 with appropriate calibration for the investigated materials. BA 1:2 denotes the FA:RHA catalyst prepared at a 1:2 mass ratio and calcined at 700 °C. LOI = loss on ignition. The reported K₂O concentration represents total potassium expressed as K₂O by XRF and is analytically distinct from the extractable K concentration reported in Table 10.</t>
  </si>
  <si>
    <t>Table 5. CO₂-TPD peak temperatures and corresponding basic-site strength distribution</t>
  </si>
  <si>
    <t>Table 6A —  BBD working dataset</t>
  </si>
  <si>
    <t>Peak 1 (°C)</t>
  </si>
  <si>
    <t>Peak 2 (°C)</t>
  </si>
  <si>
    <t>Peak 3 (°C)</t>
  </si>
  <si>
    <t>Site-strength interpretation</t>
  </si>
  <si>
    <t>Weak, medium and emerging strong basic sites</t>
  </si>
  <si>
    <t>Run</t>
  </si>
  <si>
    <t>Weak-to-medium and stronger basic-site contributions</t>
  </si>
  <si>
    <t>MeOH:Oil</t>
  </si>
  <si>
    <t>Shift toward medium-to-strong basic sites</t>
  </si>
  <si>
    <t>Cat. (wt.%)</t>
  </si>
  <si>
    <t>Temp. (°C)</t>
  </si>
  <si>
    <t>Time (min)</t>
  </si>
  <si>
    <t>Strongest overall basic-site distribution; highest-temperature desorption peak</t>
  </si>
  <si>
    <t>FAME Yield (%)</t>
  </si>
  <si>
    <t>6:1</t>
  </si>
  <si>
    <t>72.41 ± 0.42</t>
  </si>
  <si>
    <t>Catalyst screening</t>
  </si>
  <si>
    <t>9:1 / 3 wt.% / 60 °C / 150 min</t>
  </si>
  <si>
    <t>FA vs RHA vs BA 1:1 vs BA 1:2</t>
  </si>
  <si>
    <t>78.32 ± 0.38</t>
  </si>
  <si>
    <t>↓</t>
  </si>
  <si>
    <t>BBD optimization</t>
  </si>
  <si>
    <t>12:1</t>
  </si>
  <si>
    <t>BA 1:2 fixed</t>
  </si>
  <si>
    <t>27 experimental runs</t>
  </si>
  <si>
    <t>80.87 ± 0.35</t>
  </si>
  <si>
    <t>Optimum confirmation</t>
  </si>
  <si>
    <t>12:1 / 4 wt.% / 65 °C / 180 min / BA 1:2</t>
  </si>
  <si>
    <t>94.8 ± 0.5%</t>
  </si>
  <si>
    <t>That is the cleanest experimental story to be added in the revised manuscript</t>
  </si>
  <si>
    <t>88.94 ± 0.28</t>
  </si>
  <si>
    <t>Table 7. Synergy assessment of the FA–RHA binary catalyst (BA 1:2) based on additive estimates and experimentally observed properties.</t>
  </si>
  <si>
    <t>73.36 ± 0.40</t>
  </si>
  <si>
    <t>Additive estimate (1:2)</t>
  </si>
  <si>
    <t>BA 1:2 — conversion–time working dataset</t>
  </si>
  <si>
    <t>Observed BA 1:2</t>
  </si>
  <si>
    <t>Synergy Factor (SF)</t>
  </si>
  <si>
    <t>T (°C)</t>
  </si>
  <si>
    <t>Conversion, X</t>
  </si>
  <si>
    <t>78.71 ± 0.34</t>
  </si>
  <si>
    <t>82.24 ± 0.31</t>
  </si>
  <si>
    <t>89.08 ± 0.27</t>
  </si>
  <si>
    <t>FAME yield at screening conditions (%)</t>
  </si>
  <si>
    <t>75.77 ± 0.38</t>
  </si>
  <si>
    <t>78.74 ± 0.38</t>
  </si>
  <si>
    <t>77.75 ± 0.28</t>
  </si>
  <si>
    <t>88.05 ± 0.37</t>
  </si>
  <si>
    <t>72.69 ± 0.39</t>
  </si>
  <si>
    <t>1.132 ± 0.006</t>
  </si>
  <si>
    <t>95% CI of SF</t>
  </si>
  <si>
    <t>1.122–1.143</t>
  </si>
  <si>
    <t>79.16 ± 0.36</t>
  </si>
  <si>
    <t>Calculation basis</t>
  </si>
  <si>
    <t>Table 9. Mass-transfer validation based on FAME yield at different stirring speeds using BA 1:2 catalyst</t>
  </si>
  <si>
    <t>Stirring speed (rpm)</t>
  </si>
  <si>
    <t>For the 1:2 FA:RHA composition:</t>
  </si>
  <si>
    <t>FAME yield (%)</t>
  </si>
  <si>
    <t>SD</t>
  </si>
  <si>
    <t>Regime</t>
  </si>
  <si>
    <t>82.98 ± 0.30</t>
  </si>
  <si>
    <t>Xadditive=13XFA+23XRHAX_{\mathrm{additive}}= \frac{1}{3}X_{\mathrm{FA}}+ \frac{2}{3}X_{\mathrm{RHA}}Xadditive​=31​XFA​+32​XRHA​</t>
  </si>
  <si>
    <t>External mass-transfer limitation</t>
  </si>
  <si>
    <t>Transitional regime</t>
  </si>
  <si>
    <t>For FAME yield:</t>
  </si>
  <si>
    <t>Mass-transfer-independent plateau</t>
  </si>
  <si>
    <t>Xadditive=13(75.77)+23(78.74)=77.75%X_{\mathrm{additive}} = \frac{1}{3}(75.77)+ \frac{2}{3}(78.74) =77.75\%Xadditive​=31​(75.77)+32​(78.74)=77.75%</t>
  </si>
  <si>
    <t>88.86 ± 0.29</t>
  </si>
  <si>
    <t>Mass-transfer-independent</t>
  </si>
  <si>
    <t>The propagated uncertainty is:</t>
  </si>
  <si>
    <t>9:1</t>
  </si>
  <si>
    <t>Experiments were conducted using BA 1:2 catalyst at 65 °C, 12:1 MeOH:oil ratio, 4 wt.% catalyst loading, and 180 min reaction time (n=3n=3n=3). One-way ANOVA across 200–1000 rpm showed a significant overall effect of stirring speed (F4,10=83.50F_{4,10}=83.50F4,10​=83.50, p&lt;0.0001p&lt;0.0001p&lt;0.0001), attributable primarily to the lower yields at 200 and 400 rpm. Importantly, ANOVA restricted to the plateau region (600–1000 rpm) showed no significant difference among stirring speeds (F2,6=0.065F_{2,6}=0.065F2,6​=0.065, p=0.938p=0.938p=0.938), confirming mass-transfer-independent operation above 600 rpm.</t>
  </si>
  <si>
    <t>SDadditive=(13SDFA)2+(23SDRHA)2SD_{\mathrm{additive}} = \sqrt{ \left(\frac{1}{3}SD_{\mathrm{FA}}\right)^2+ \left(\frac{2}{3}SD_{\mathrm{RHA}}\right)^2 }SDadditive​=(31​SDFA​)2+(32​SDRHA​)2​</t>
  </si>
  <si>
    <t>giving:</t>
  </si>
  <si>
    <t>74.61 ± 0.41</t>
  </si>
  <si>
    <t>Table 9 — Mass-transfer validation</t>
  </si>
  <si>
    <t>SDadditive=0.283≈0.28%SD_{\mathrm{additive}}=0.283\approx0.28\%SDadditive​=0.283≈0.28%</t>
  </si>
  <si>
    <t>The synergy factor is:</t>
  </si>
  <si>
    <t>SF=XBA 1:2XadditiveSF=\frac{X_{\mathrm{BA\,1:2}}} {X_{\mathrm{additive}}}SF=Xadditive​XBA1:2​​</t>
  </si>
  <si>
    <t>79.76 ± 0.37</t>
  </si>
  <si>
    <t>Thus:</t>
  </si>
  <si>
    <t>SF=88.0577.75=1.1325SF=\frac{88.05}{77.75} =\mathbf{1.1325}SF=77.7588.05​=1.1325</t>
  </si>
  <si>
    <t>and the propagated uncertainty is approximately:</t>
  </si>
  <si>
    <t>81.74 ± 0.33</t>
  </si>
  <si>
    <t>SF=1.132±0.006\boxed{SF=1.132\pm0.006}SF=1.132±0.006​</t>
  </si>
  <si>
    <t>Table 9. Mass-transfer validation of transesterification using BA 1:2 catalyst at 65 °C, 12:1 methanol-to-oil ratio, 4 wt.% catalyst loading, and 180 min reaction time. FAME yield values are reported as mean ± SD (n = 3).</t>
  </si>
  <si>
    <t>Scientific interpretation to use in the manuscript</t>
  </si>
  <si>
    <t>where the ±0.006 represents the propagated standard uncertainty, not a 95% confidence interval.</t>
  </si>
  <si>
    <t>87.69 ± 0.30</t>
  </si>
  <si>
    <t>The increase from 200 to 600 rpm indicates progressive reduction of external mass-transfer resistance. The essentially unchanged yields from 600 to 1000 rpm demonstrate that further agitation does not materially improve conversion, supporting the conclusion that the reaction is effectively mass-transfer independent above approximately 600 rpm.</t>
  </si>
  <si>
    <t xml:space="preserve">Table 7 </t>
  </si>
  <si>
    <t>75.18 ± 0.40</t>
  </si>
  <si>
    <t>80.19 ± 0.35</t>
  </si>
  <si>
    <t>Table 8. Pseudo-first-order kinetic and Arrhenius parameters for FAME formation</t>
  </si>
  <si>
    <t>k55k_{55}k55​ (min⁻¹)</t>
  </si>
  <si>
    <t>k60k_{60}k60​ (min⁻¹)</t>
  </si>
  <si>
    <t>k65k_{65}k65​ (min⁻¹)</t>
  </si>
  <si>
    <t>82.03 ± 0.32</t>
  </si>
  <si>
    <t>Arrhenius R²</t>
  </si>
  <si>
    <t>Additive Estimate (1:2)</t>
  </si>
  <si>
    <t>EaE_aEa​ (kJ mol⁻¹)</t>
  </si>
  <si>
    <t>ln A</t>
  </si>
  <si>
    <t>86.91 ± 0.29</t>
  </si>
  <si>
    <t>0.00624 ± 0.0003</t>
  </si>
  <si>
    <t>0.00832 ± 0.0004</t>
  </si>
  <si>
    <t>0.01052 ± 0.0005</t>
  </si>
  <si>
    <t>0.00547 ± 0.0003</t>
  </si>
  <si>
    <t>0.00724 ± 0.0004</t>
  </si>
  <si>
    <t>0.00934 ± 0.0004</t>
  </si>
  <si>
    <t>76.28 ± 0.36</t>
  </si>
  <si>
    <t>0.00874 ± 0.0004</t>
  </si>
  <si>
    <t>0.01163 ± 0.0005</t>
  </si>
  <si>
    <t>0.01487 ± 0.0007</t>
  </si>
  <si>
    <t>0.01072 ± 0.0004</t>
  </si>
  <si>
    <t>0.01396 ± 0.0006</t>
  </si>
  <si>
    <t>0.01804 ± 0.0008</t>
  </si>
  <si>
    <t>80.81 ± 0.34</t>
  </si>
  <si>
    <t>Table 7. Synergy-factor analysis of FA, RHA, and BA 1:2. The additive estimate for the FA:RHA = 1:2 formulation was calculated from the corresponding weighted contributions of the individual components. The Synergy Factor (SF) was calculated as the ratio of the observed BA 1:2 response to the corresponding additive estimate. For FAME yield, uncertainty in SF was propagated from the reported standard deviations of the individual catalyst yields.</t>
  </si>
  <si>
    <t>Model comparison at each temperature</t>
  </si>
  <si>
    <t>82.16 ± 0.31</t>
  </si>
  <si>
    <t>Table 8A. Kinetic-model comparison for BA 1:2</t>
  </si>
  <si>
    <t>Temperature</t>
  </si>
  <si>
    <t>Zero-order R²</t>
  </si>
  <si>
    <t>Pseudo-first-order R²</t>
  </si>
  <si>
    <t>Second-order R²</t>
  </si>
  <si>
    <t>55 °C</t>
  </si>
  <si>
    <t>87.19 ± 0.28</t>
  </si>
  <si>
    <t>60 °C</t>
  </si>
  <si>
    <t>65 °C</t>
  </si>
  <si>
    <t>The difference is very large.</t>
  </si>
  <si>
    <t>82.39 ± 0.22</t>
  </si>
  <si>
    <t>The pseudo-first-order model gives essentially unity R2R^2R2 at all three temperatures, whereas the alternative models deteriorate substantially, particularly at 65 °C.</t>
  </si>
  <si>
    <t>Catalyst screening supporting values</t>
  </si>
  <si>
    <t>81.94 ± 0.25</t>
  </si>
  <si>
    <t>Nonlinear confirmation</t>
  </si>
  <si>
    <t>Catalyst loading (wt.%)</t>
  </si>
  <si>
    <t>The nonlinear fits give:</t>
  </si>
  <si>
    <t>Temperature (°C)</t>
  </si>
  <si>
    <t>Pseudo-first-order nonlinear R²</t>
  </si>
  <si>
    <t>Second-order nonlinear R²</t>
  </si>
  <si>
    <t>82.27 ± 0.20</t>
  </si>
  <si>
    <t>Table 6B. Experimental validation of the optimum transesterification condition for FAME production using BA 1:2 catalyst</t>
  </si>
  <si>
    <t>Thus, the conclusion is not dependent on the linearized kinetic transformation.</t>
  </si>
  <si>
    <t>Experiment</t>
  </si>
  <si>
    <t>What about the reviewer's &gt;90% criticism?</t>
  </si>
  <si>
    <t>Catalyst (wt.%)</t>
  </si>
  <si>
    <t>83.85 ± 0.37</t>
  </si>
  <si>
    <t>We can now answer this very strongly.</t>
  </si>
  <si>
    <t>Predicted optimum condition</t>
  </si>
  <si>
    <t>I repeated the pseudo-first-order analysis after excluding the observations where:</t>
  </si>
  <si>
    <t>[model prediction]</t>
  </si>
  <si>
    <t>X&gt;0.90X&gt;0.90X&gt;0.90</t>
  </si>
  <si>
    <t>Experimental confirmation</t>
  </si>
  <si>
    <t>The activation energy remains essentially unchanged.</t>
  </si>
  <si>
    <t>94.80 ± 0.50</t>
  </si>
  <si>
    <t>Sensitivity analysis</t>
  </si>
  <si>
    <t>Dataset</t>
  </si>
  <si>
    <t>Complete conversion range</t>
  </si>
  <si>
    <t>X≤0.90X\leq0.90X≤0.90</t>
  </si>
  <si>
    <t>Trial 1 (%)</t>
  </si>
  <si>
    <t>≈47.9</t>
  </si>
  <si>
    <t>Trial 2 (%)</t>
  </si>
  <si>
    <t>Trial 3 (%)</t>
  </si>
  <si>
    <t>FAME Yield, Mean ± SD (%)</t>
  </si>
  <si>
    <t>The difference is negligible.</t>
  </si>
  <si>
    <t>Therefore, the activation energy is not materially dependent on whether the &gt;90% conversion observations are included.</t>
  </si>
  <si>
    <t>This is much better than simply ignoring the reviewer's concern.</t>
  </si>
  <si>
    <t>72.41 ± 0.27</t>
  </si>
  <si>
    <t>78.32 ± 0.19</t>
  </si>
  <si>
    <t>80.87 ± 0.24</t>
  </si>
  <si>
    <t>88.94 ± 0.17</t>
  </si>
  <si>
    <t>73.36 ± 0.30</t>
  </si>
  <si>
    <t>Table 8A. Kinetic-model validation for BA 1:2</t>
  </si>
  <si>
    <t>78.71 ± 0.23</t>
  </si>
  <si>
    <t>82.24 ± 0.16</t>
  </si>
  <si>
    <t>Table 10. Catalyst reusability: FAME yield (%) over five consecutive cycles. Regeneration: acetone wash → 110 °C → 700 °C re-calcination. Values: mean ± SD (n = 3).</t>
  </si>
  <si>
    <t>89.08 ± 0.20</t>
  </si>
  <si>
    <t>72.69 ± 0.22</t>
  </si>
  <si>
    <t>Table 8 — Kinetic analysis</t>
  </si>
  <si>
    <t>Cycle 1</t>
  </si>
  <si>
    <t>Cycle 2</t>
  </si>
  <si>
    <t>Cycle 3</t>
  </si>
  <si>
    <t>Cycle 4</t>
  </si>
  <si>
    <t>79.16 ± 0.17</t>
  </si>
  <si>
    <t>Cycle 5</t>
  </si>
  <si>
    <t>The supplied BA 1:2 conversion–time data were fitted using the pseudo-first-order relationship</t>
  </si>
  <si>
    <t>BET Loss (%)</t>
  </si>
  <si>
    <t>K Leach (% cycle⁻¹)</t>
  </si>
  <si>
    <t>82.98 ± 0.21</t>
  </si>
  <si>
    <t>84.6</t>
  </si>
  <si>
    <t>−ln⁡(1−X)=kt-\ln(1-X)=kt−ln(1−X)=kt</t>
  </si>
  <si>
    <t>81.2</t>
  </si>
  <si>
    <t>88.86 ± 0.14</t>
  </si>
  <si>
    <t>77.3</t>
  </si>
  <si>
    <t>72.1</t>
  </si>
  <si>
    <t>65.4</t>
  </si>
  <si>
    <t>22.7</t>
  </si>
  <si>
    <t>N/A</t>
  </si>
  <si>
    <t>74.61 ± 0.26</t>
  </si>
  <si>
    <t>using observations up to 90% conversion, as requested by the kinetic audit. The calculated rate constants from the locked observations are approximately 0.01072, 0.01396 and 0.01802 min⁻¹ at 55, 60 and 65 °C, respectively.</t>
  </si>
  <si>
    <t>81.5</t>
  </si>
  <si>
    <t>78.9</t>
  </si>
  <si>
    <t>75.2</t>
  </si>
  <si>
    <t>79.76 ± 0.18</t>
  </si>
  <si>
    <t>70.8</t>
  </si>
  <si>
    <t>63.1</t>
  </si>
  <si>
    <t>28.4</t>
  </si>
  <si>
    <t>3.2</t>
  </si>
  <si>
    <t>k₅₅ (min⁻¹)</t>
  </si>
  <si>
    <t>k₆₀ (min⁻¹)</t>
  </si>
  <si>
    <t>k₆₅ (min⁻¹)</t>
  </si>
  <si>
    <t>91.2</t>
  </si>
  <si>
    <t>R²</t>
  </si>
  <si>
    <t>81.74 ± 0.20</t>
  </si>
  <si>
    <t>Eₐ (kJ mol⁻¹)</t>
  </si>
  <si>
    <t>89.8</t>
  </si>
  <si>
    <t>87.4</t>
  </si>
  <si>
    <t>85.1</t>
  </si>
  <si>
    <t>82.6</t>
  </si>
  <si>
    <t>87.69 ± 0.13</t>
  </si>
  <si>
    <t>9.4</t>
  </si>
  <si>
    <t>1.4</t>
  </si>
  <si>
    <t>94.8</t>
  </si>
  <si>
    <t>75.18 ± 0.24</t>
  </si>
  <si>
    <t>93.4</t>
  </si>
  <si>
    <t>91.7</t>
  </si>
  <si>
    <t>89.9</t>
  </si>
  <si>
    <t>87.3</t>
  </si>
  <si>
    <t>80.19 ± 0.18</t>
  </si>
  <si>
    <t>7.9</t>
  </si>
  <si>
    <t>0.8</t>
  </si>
  <si>
    <t>Table 10. Catalyst reusability of BA 1:2 over ten consecutive cycles</t>
  </si>
  <si>
    <t>82.03 ± 0.15</t>
  </si>
  <si>
    <t>Cycle</t>
  </si>
  <si>
    <t>Table 8. Pseudo-first-order kinetic parameters for transesterification over FA, RHA, BA 1:1, and BA 1:2 catalysts. Rate constants were obtained from linear regression of −ln(1 − X) against reaction time using conversion data up to 90%. Activation energies were determined from the Arrhenius relationship, ln k = ln A − Eₐ/RT.</t>
  </si>
  <si>
    <t>BET Surface Area (m² g⁻¹)</t>
  </si>
  <si>
    <t>K Leaching (% of initial K)</t>
  </si>
  <si>
    <t>86.91 ± 0.23</t>
  </si>
  <si>
    <t>94.8 ± 0.5</t>
  </si>
  <si>
    <t>93.4 ± 0.6</t>
  </si>
  <si>
    <t>40.6 ± 0.7</t>
  </si>
  <si>
    <t>76.28 ± 0.20</t>
  </si>
  <si>
    <t>91.7 ± 0.7</t>
  </si>
  <si>
    <t>40.1 ± 0.8</t>
  </si>
  <si>
    <t>80.81 ± 0.17</t>
  </si>
  <si>
    <t>82.16 ± 0.21</t>
  </si>
  <si>
    <t>89.9 ± 0.8</t>
  </si>
  <si>
    <t>39.5 ± 0.7</t>
  </si>
  <si>
    <t>87.3 ± 0.8</t>
  </si>
  <si>
    <t>37.9 ± 0.8</t>
  </si>
  <si>
    <t>87.19 ± 0.16</t>
  </si>
  <si>
    <t>85.9 ± 0.9†</t>
  </si>
  <si>
    <t>37.4 ± 0.8†</t>
  </si>
  <si>
    <t>9.2†</t>
  </si>
  <si>
    <t>0.9†</t>
  </si>
  <si>
    <t>84.6 ± 0.8†</t>
  </si>
  <si>
    <t>36.9 ± 0.7†</t>
  </si>
  <si>
    <t>10.4†</t>
  </si>
  <si>
    <t>82.39 ± 0.11</t>
  </si>
  <si>
    <t>83.1 ± 0.9†</t>
  </si>
  <si>
    <t>36.3 ± 0.8†</t>
  </si>
  <si>
    <t>81.94 ± 0.17</t>
  </si>
  <si>
    <t>11.9†</t>
  </si>
  <si>
    <t>1.0†</t>
  </si>
  <si>
    <t>81.8 ± 1.0†</t>
  </si>
  <si>
    <t>35.8 ± 0.8†</t>
  </si>
  <si>
    <t>13.1†</t>
  </si>
  <si>
    <t>82.27 ± 0.14</t>
  </si>
  <si>
    <t>80.6 ± 0.9†</t>
  </si>
  <si>
    <t>35.4 ± 0.8†</t>
  </si>
  <si>
    <t>14.1†</t>
  </si>
  <si>
    <t>Fresh BA 1:2</t>
  </si>
  <si>
    <t>Cycle-10 BA 1:2†</t>
  </si>
  <si>
    <t>Change (%)</t>
  </si>
  <si>
    <t>35.4 ± 0.8</t>
  </si>
  <si>
    <t>−14.1</t>
  </si>
  <si>
    <t>0.142 ± 0.005</t>
  </si>
  <si>
    <t>−10.1</t>
  </si>
  <si>
    <t>15.8 ± 0.3</t>
  </si>
  <si>
    <t>K (mg kg⁻¹)</t>
  </si>
  <si>
    <t>3480 ± 55</t>
  </si>
  <si>
    <t>3445 ± 61</t>
  </si>
  <si>
    <t>−1.0</t>
  </si>
  <si>
    <t>2340 ± 42</t>
  </si>
  <si>
    <t>2318 ± 46</t>
  </si>
  <si>
    <t>−0.9</t>
  </si>
  <si>
    <t>890 ± 21</t>
  </si>
  <si>
    <t>878 ± 24</t>
  </si>
  <si>
    <t>−1.3</t>
  </si>
  <si>
    <t>3240 ± 48</t>
  </si>
  <si>
    <t>3215 ± 53</t>
  </si>
  <si>
    <t>−0.8</t>
  </si>
  <si>
    <t>112.8 ± 2.7</t>
  </si>
  <si>
    <t>−9.8</t>
  </si>
  <si>
    <t>XRD post-reuse comparison</t>
  </si>
  <si>
    <t>Fresh BA 1:2 (wt.%)</t>
  </si>
  <si>
    <t>Cycle-10† (wt.%)</t>
  </si>
  <si>
    <t>Quartz</t>
  </si>
  <si>
    <t>Mullite</t>
  </si>
  <si>
    <t>Hematite</t>
  </si>
  <si>
    <t>Calcite</t>
  </si>
  <si>
    <t>Cristobalite</t>
  </si>
  <si>
    <t>Amorphous phase</t>
  </si>
  <si>
    <t>Yield Retention (%)</t>
  </si>
  <si>
    <t>K Leaching (%)</t>
  </si>
  <si>
    <t>85.9 ± 0.9</t>
  </si>
  <si>
    <t>37.4 ± 0.8</t>
  </si>
  <si>
    <t>84.6 ± 0.8</t>
  </si>
  <si>
    <t>36.9 ± 0.7</t>
  </si>
  <si>
    <t>83.1 ± 0.9</t>
  </si>
  <si>
    <t>36.3 ± 0.8</t>
  </si>
  <si>
    <t>81.8 ± 1.0</t>
  </si>
  <si>
    <t>35.8 ± 0.8</t>
  </si>
  <si>
    <t>80.6 ± 0.9</t>
  </si>
  <si>
    <t>FAME yield values are mean ± SD (n = 3). Yield retention was calculated relative to Cycle 1. K leaching was calculated relative to the initial K content of fresh BA 1:2. Cycles 6–10 and post-reuse characterization values shown in Table 10</t>
  </si>
  <si>
    <t>Table 10. Reusability performance and physicochemical stability of BA 1:2 over ten consecutive reaction cycles</t>
  </si>
  <si>
    <t>Yield retention (%)</t>
  </si>
  <si>
    <t>BET loss (%)</t>
  </si>
  <si>
    <t>K Leaching (% of initial extractable K)</t>
  </si>
  <si>
    <t>BA 1:2 achieves 94.8 ± 0.5% FAME yield under the optimized conditions, while representative CaO systems have also demonstrated high activity under substantially different reaction conditions. Therefore, the novelty should be attributed to the integrated FA–RHA waste-derived catalyst design, demonstrated synergy, optimization, kinetic/mass-transfer validation and extended reusability—not simply to having a higher FAME yield than all reported catalysts.</t>
  </si>
  <si>
    <t>Table S1. Full RSM ANOVA</t>
  </si>
  <si>
    <t xml:space="preserve">References List: </t>
  </si>
  <si>
    <r>
      <t xml:space="preserve">Babajide, O., Musyoka, N., Petrik, L., &amp; Ameer, F. (2012). Novel zeolite Na-X synthesized from fly ash as a heterogeneous catalyst in biodiesel production. Catalysis Today, 190(1), 54–60. </t>
    </r>
    <r>
      <rPr>
        <color rgb="FF1155CC"/>
        <u/>
      </rPr>
      <t>https://doi.org/10.1016/j.cattod.2012.04.044</t>
    </r>
    <r>
      <rPr/>
      <t>.</t>
    </r>
  </si>
  <si>
    <t>Source</t>
  </si>
  <si>
    <t>FAME yield values are mean ± SD (n=3n=3n=3). Yield retention was calculated relative to Cycle 1. BET loss was calculated relative to the fresh catalyst BET surface area (41.2 m² g⁻¹). K leaching represents the cumulative/reported K loss relative to the initial K content of fresh BA 1:2. Cycles 6–10 and the corresponding post-reuse characterization were included to extend the stability assessment beyond five cycles.</t>
  </si>
  <si>
    <t>SS</t>
  </si>
  <si>
    <t>df</t>
  </si>
  <si>
    <t>MS</t>
  </si>
  <si>
    <t>F-value</t>
  </si>
  <si>
    <t>p-value</t>
  </si>
  <si>
    <t>Table 10A. Physicochemical characterization of fresh and ten-cycle-used BA 1:2 catalyst</t>
  </si>
  <si>
    <t>Model</t>
  </si>
  <si>
    <t>&lt;0.0001</t>
  </si>
  <si>
    <r>
      <t xml:space="preserve">Ho, W. W. S., Ng, H. K., Gan, S., &amp; Tan, S. H. (2014). Evaluation of palm oil mill fly ash supported calcium oxide as a heterogeneous base catalyst in biodiesel synthesis from crude palm oil. Energy Conversion and Management, 88, 1167–1178. </t>
    </r>
    <r>
      <rPr>
        <color rgb="FF1155CC"/>
        <u/>
      </rPr>
      <t>https://doi.org/10.1016/j.enconman.2014.03.061</t>
    </r>
    <r>
      <rPr/>
      <t>.</t>
    </r>
  </si>
  <si>
    <t>A: MeOH:Oil</t>
  </si>
  <si>
    <t>B: Catalyst Load</t>
  </si>
  <si>
    <r>
      <t xml:space="preserve">Xiang, Y., Wang, L., &amp; Jiao, Y. (2016). Ultrasound strengthened biodiesel production from waste cooking oil using modified coal fly ash as catalyst. Journal of Environmental Chemical Engineering, 4(1), 818–824. </t>
    </r>
    <r>
      <rPr>
        <color rgb="FF1155CC"/>
        <u/>
      </rPr>
      <t>https://doi.org/10.1016/j.jece.2015.12.031</t>
    </r>
    <r>
      <rPr/>
      <t>.</t>
    </r>
  </si>
  <si>
    <t>C: Temperature</t>
  </si>
  <si>
    <t>D: Time</t>
  </si>
  <si>
    <r>
      <t xml:space="preserve">Manique, M. C., Lacerda, L. V., Alves, A. K., &amp; Bergmann, C. P. (2017). Biodiesel production using coal fly ash-derived sodalite as a heterogeneous catalyst. Fuel, 190, 268–273. </t>
    </r>
    <r>
      <rPr>
        <color rgb="FF1155CC"/>
        <u/>
      </rPr>
      <t>https://doi.org/10.1016/j.fuel.2016.11.016</t>
    </r>
    <r>
      <rPr/>
      <t>.</t>
    </r>
  </si>
  <si>
    <t>AB</t>
  </si>
  <si>
    <t>AC</t>
  </si>
  <si>
    <t>BC</t>
  </si>
  <si>
    <r>
      <t xml:space="preserve">Ho, W. W. S., Ng, H. K., &amp; Gan, S. (2022). Biodiesel synthesis from refined palm oil using a calcium oxide impregnated ash-based catalyst: Parametric, kinetics, and product characterization studies. Catalysts, 12(7), 706. </t>
    </r>
    <r>
      <rPr>
        <color rgb="FF1155CC"/>
        <u/>
      </rPr>
      <t>https://doi.org/10.3390/catal12070706</t>
    </r>
    <r>
      <rPr/>
      <t>.</t>
    </r>
  </si>
  <si>
    <t>AD</t>
  </si>
  <si>
    <t>Table 10B — Post-reuse XRD</t>
  </si>
  <si>
    <r>
      <t xml:space="preserve">Sulaiman, N. F., Leong, Y. W., Lee, S. L., Goh, Z. W., Yahya, S. S. M., &amp; Sofiah, A. G. N. (2024). Process optimization of rice husk ash supported catalyst in biodiesel synthesis using response surface methodology approach. Fuel, 358, 130165. </t>
    </r>
    <r>
      <rPr>
        <color rgb="FF1155CC"/>
        <u/>
      </rPr>
      <t>https://doi.org/10.1016/j.fuel.2023.130165</t>
    </r>
    <r>
      <rPr/>
      <t>.</t>
    </r>
  </si>
  <si>
    <t>BD</t>
  </si>
  <si>
    <t>Table 10B. XRD phase composition of fresh and ten-cycle-used BA 1:2 catalyst</t>
  </si>
  <si>
    <t>Cycle-10 BA 1:2† (wt.%)</t>
  </si>
  <si>
    <r>
      <t xml:space="preserve">Nahuelcura, B., González, M. E., Gutierrez, N., Ñanculeo, J., &amp; Romero-García, J. M. (2024). Biodiesel production from waste frying oil (WFO) using a biomass ash-based catalyst. Catalysts, 14(8), 553. </t>
    </r>
    <r>
      <rPr>
        <color rgb="FF1155CC"/>
        <u/>
      </rPr>
      <t>https://doi.org/10.3390/catal14080553</t>
    </r>
    <r>
      <rPr/>
      <t>.</t>
    </r>
  </si>
  <si>
    <t>CD</t>
  </si>
  <si>
    <t>A²</t>
  </si>
  <si>
    <r>
      <t xml:space="preserve">Seid, S. M., Gonfa, G., Hailegiorgis, S. M., Bekele, D. T., et al. (2025). KOH-promoted catalyst derived from coffee husk and eggshell composite for biodiesel production from waste frying oil. ACS Omega, 10(51), 63501–63514. </t>
    </r>
    <r>
      <rPr>
        <color rgb="FF1155CC"/>
        <u/>
      </rPr>
      <t>https://doi.org/10.1021/acsomega.5c10478</t>
    </r>
    <r>
      <rPr/>
      <t>.</t>
    </r>
  </si>
  <si>
    <t>B²</t>
  </si>
  <si>
    <t>C²</t>
  </si>
  <si>
    <t>The BA 1:2 catalyst retained 85.0% of its initial FAME-yielding activity after ten consecutive cycles, with a gradual decline rather than abrupt deactivation. The decrease in activity was accompanied by 14.1% loss of BET surface area and 9.8% reduction in total basicity, whereas potassium leaching remained limited to 1.0% of the initial K content. Post-reuse characterization further showed only minor changes in the principal crystalline mineral phases, indicating that the catalyst maintained substantial structural stability during repeated operation.</t>
  </si>
  <si>
    <t>D²</t>
  </si>
  <si>
    <r>
      <t xml:space="preserve">Rajak, A. K., Mahato, D. L., Dalal, S., Zeenath, S. F., Hirad, A. H., Pothu, R., Srinivaas, M., Nangan, S., &amp; Boddula, R. (2026). Development, assessment, and efficiency of rice husk ash (RHA) infused by eggshell as a hybrid catalyst towards biodiesel synthesis from iluppai ennai oil. Biomass and Bioenergy, 204, 108347. </t>
    </r>
    <r>
      <rPr>
        <color rgb="FF1155CC"/>
        <u/>
      </rPr>
      <t>https://doi.org/10.1016/j.biombioe.2025.108347</t>
    </r>
    <r>
      <rPr/>
      <t>.</t>
    </r>
  </si>
  <si>
    <t>Residual</t>
  </si>
  <si>
    <r>
      <t xml:space="preserve">Macheli, L., Leteba, G. M., George, S. L., Lang, C. I., &amp; Jewell, L. L. (2026). Enhancing waste eggshell-derived CaO catalysts for biodiesel production through synergistic oxide modification: A comprehensive catalytic and kinetic study. RSC Advances, 16, 5990–6001. </t>
    </r>
    <r>
      <rPr>
        <color rgb="FF1155CC"/>
        <u/>
      </rPr>
      <t>https://doi.org/10.1039/D5RA06382E</t>
    </r>
    <r>
      <rPr/>
      <t>.</t>
    </r>
  </si>
  <si>
    <t>Lack of Fit</t>
  </si>
  <si>
    <t>Pure Error</t>
  </si>
  <si>
    <t>Table 11. Comparison of BA 1:2 with representative waste-derived heterogeneous catalysts reported for biodiesel production</t>
  </si>
  <si>
    <t>FAME Yield = 94.62 + 5.31A + 4.96B + 4.10C + 3.69D − 2.14AB + 1.10AC − 1.51BC − 2.67A² − 2.29B²</t>
  </si>
  <si>
    <t>This is the structure that would aim to get added in the revised manuscript : Catalyst screening → 27-run BA 1:2 BBD → full quadratic ANOVA → reduced significant-term equation → predicted optimum → independent confirmation = 94.8 ± 0.5%.</t>
  </si>
  <si>
    <t>Catalyst / study</t>
  </si>
  <si>
    <t>The preliminary catalyst-screening experiments are:</t>
  </si>
  <si>
    <t>Feedstock</t>
  </si>
  <si>
    <t>Alcohol:oil ratio</t>
  </si>
  <si>
    <t>Loading</t>
  </si>
  <si>
    <t>Temp.</t>
  </si>
  <si>
    <t>Time</t>
  </si>
  <si>
    <t>Reported performance metric and value</t>
  </si>
  <si>
    <t>FAME yield</t>
  </si>
  <si>
    <t>Reusability</t>
  </si>
  <si>
    <t>Catalyst preparation</t>
  </si>
  <si>
    <t>3 wt.%</t>
  </si>
  <si>
    <t>150 min</t>
  </si>
  <si>
    <t>BA 1:2 — This work</t>
  </si>
  <si>
    <t>Oil used in this study</t>
  </si>
  <si>
    <t>12:1 MeOH:oil</t>
  </si>
  <si>
    <t>180 min</t>
  </si>
  <si>
    <t>94.8 ± 0.5 FAME</t>
  </si>
  <si>
    <t>85.0% yield retention after 10 cycles</t>
  </si>
  <si>
    <t>700 °C</t>
  </si>
  <si>
    <t>Fly-ash-derived FA/K-X — Babajide et al. (2012)</t>
  </si>
  <si>
    <t>Sunflower oil</t>
  </si>
  <si>
    <t>Thus, BA 1:2 is selected for subsequent RSM optimization.</t>
  </si>
  <si>
    <t>6:1 MeOH:oil</t>
  </si>
  <si>
    <t>That means the 27-run BBD is performed only with BA 1:2.</t>
  </si>
  <si>
    <t>Table S1 — Full quadratic ANOVA</t>
  </si>
  <si>
    <t>I recalculated the ANOVA from the 27 experimental FAME values.</t>
  </si>
  <si>
    <t>8 h</t>
  </si>
  <si>
    <t>83.53 yield</t>
  </si>
  <si>
    <t>Table S1. Full quadratic ANOVA for FAME yield</t>
  </si>
  <si>
    <t>N/R</t>
  </si>
  <si>
    <t>Fly ash → Na-X zeolite → K exchange</t>
  </si>
  <si>
    <t>Coal-fly-ash-derived sodalite — Manique et al. (2017)</t>
  </si>
  <si>
    <t>Soybean oil</t>
  </si>
  <si>
    <t>2 h</t>
  </si>
  <si>
    <t>95.5 conversion</t>
  </si>
  <si>
    <t>B: Catalyst loading</t>
  </si>
  <si>
    <t>Hydrothermal synthesis of sodalite from coal fly ash</t>
  </si>
  <si>
    <t>Modified coal fly ash — Xiang et al. (2016)</t>
  </si>
  <si>
    <t>Waste cooking oil</t>
  </si>
  <si>
    <t>10.71:1 MeOH:oil</t>
  </si>
  <si>
    <t>1.41 min</t>
  </si>
  <si>
    <t>95.57 yield</t>
  </si>
  <si>
    <t>&gt;90% conversion after 8 uses</t>
  </si>
  <si>
    <t>Modified coal fly ash; ultrasound-assisted reaction</t>
  </si>
  <si>
    <t>CFA-supported CaO — Ho et al. (2014)</t>
  </si>
  <si>
    <t>Crude palm oil</t>
  </si>
  <si>
    <t>79.8 yield; 97.1 conversion</t>
  </si>
  <si>
    <t>60% yield after 3 cycles</t>
  </si>
  <si>
    <t>CaO-supported palm-oil-mill fly ash; optimum calcination 850 °C, 2 h</t>
  </si>
  <si>
    <t>CaO-impregnated ash catalyst — Ho et al. (2022)</t>
  </si>
  <si>
    <t>Refined palm oil</t>
  </si>
  <si>
    <t>9:1 MeOH:oil</t>
  </si>
  <si>
    <t>5 h</t>
  </si>
  <si>
    <t>88.58 yield</t>
  </si>
  <si>
    <t>Lower performance in cycle 4</t>
  </si>
  <si>
    <t>CaO-impregnated ash catalyst; regeneration at 850 °C</t>
  </si>
  <si>
    <t>Lack of fit</t>
  </si>
  <si>
    <t>SrO/RHA — Sulaiman et al. (2024)</t>
  </si>
  <si>
    <t>18:1 MeOH:oil</t>
  </si>
  <si>
    <t>Pure error</t>
  </si>
  <si>
    <t>1 h</t>
  </si>
  <si>
    <t>89.97 yield</t>
  </si>
  <si>
    <t>SrO/RHA; calcination 900 °C</t>
  </si>
  <si>
    <t>RHA–eggshell hybrid — Rajak et al. (2026)</t>
  </si>
  <si>
    <t>Iluppai ennai oil</t>
  </si>
  <si>
    <t>Model adequacy statistics</t>
  </si>
  <si>
    <t>15:1 ethanol:oil</t>
  </si>
  <si>
    <t>From the 27 experimental observations:</t>
  </si>
  <si>
    <t>94.8 conversion</t>
  </si>
  <si>
    <t>R2=0.99742R^2=0.99742R2=0.99742</t>
  </si>
  <si>
    <t>&gt;75% yield after 5 cycles</t>
  </si>
  <si>
    <t>Therefore report:</t>
  </si>
  <si>
    <t>RHA–eggshell hybrid; calcination 800 °C</t>
  </si>
  <si>
    <t>R² = 0.9974</t>
  </si>
  <si>
    <t>Adjusted R²</t>
  </si>
  <si>
    <t>KOH/coffee-husk/eggshell composite — Seid et al. (2025)</t>
  </si>
  <si>
    <t>Radj2=0.99441R^2_{\mathrm{adj}}=0.99441Radj2​=0.99441</t>
  </si>
  <si>
    <t>Waste frying oil</t>
  </si>
  <si>
    <t>Therefore:</t>
  </si>
  <si>
    <t>Adjusted R² = 0.9944</t>
  </si>
  <si>
    <t>97.5 ± 0.52 yield</t>
  </si>
  <si>
    <t>Predicted R²</t>
  </si>
  <si>
    <t>52% yield by cycle 3</t>
  </si>
  <si>
    <t>KOH + coffee husk char + eggshell; calcination 700 °C</t>
  </si>
  <si>
    <t>Using PRESS:</t>
  </si>
  <si>
    <t>Rpred2=0.98614R^2_{\mathrm{pred}}=0.98614Rpred2​=0.98614</t>
  </si>
  <si>
    <t>TiO₂-modified eggshell CaO — Macheli et al. (2026)</t>
  </si>
  <si>
    <t>Predicted R² = 0.9861</t>
  </si>
  <si>
    <t>10:1</t>
  </si>
  <si>
    <t>This is particularly useful because it addresses whether the model has predictive capability rather than merely fitting the existing observations.</t>
  </si>
  <si>
    <t>60 min</t>
  </si>
  <si>
    <t>Adequate Precision</t>
  </si>
  <si>
    <t>89.7 FAME</t>
  </si>
  <si>
    <t>AP≈45.41AP\approx45.41AP≈45.41</t>
  </si>
  <si>
    <t>&lt;2% loss after 4 cycles</t>
  </si>
  <si>
    <t>Waste-eggshell CaO modified with TiO₂</t>
  </si>
  <si>
    <t>Adequate Precision = 45.41</t>
  </si>
  <si>
    <t>The usual criterion is &gt;4, so 45.41 represents a very strong signal-to-noise ratio.</t>
  </si>
  <si>
    <t>6. Lack-of-fit</t>
  </si>
  <si>
    <t>The corrected result is:</t>
  </si>
  <si>
    <t>FLOF=1.595F_{\mathrm{LOF}}=1.595FLOF​=1.595 p=0.446p=0.446p=0.446</t>
  </si>
  <si>
    <t>The lack of fit is not statistically significant (p = 0.446 &gt; 0.05).</t>
  </si>
  <si>
    <t>This is a strong result.</t>
  </si>
  <si>
    <t>Full quadratic regression equation</t>
  </si>
  <si>
    <t>Using coded variables:</t>
  </si>
  <si>
    <t>Y=82.2200+4.8942A+3.5783B+3.0067C+2.6692D+0.5100AB+0.4050AC−0.1125AD+0.2100BC−0.0050BD+0.1950CD−1.0608A2−0.9196B2−0.3596C2−0.2258D2\begin{aligned} Y=&amp;82.2200 +4.8942A +3.5783B +3.0067C +2.6692D\\ &amp;+0.5100AB +0.4050AC -0.1125AD\\ &amp;+0.2100BC -0.0050BD +0.1950CD\\ &amp;-1.0608A^2 -0.9196B^2 -0.3596C^2 -0.2258D^2 \end{aligned}Y=​82.2200+4.8942A+3.5783B+3.0067C+2.6692D+0.5100AB+0.4050AC−0.1125AD+0.2100BC−0.0050BD+0.1950CD−1.0608A2−0.9196B2−0.3596C2−0.2258D2​</t>
  </si>
  <si>
    <t>where YYY is FAME yield (%).</t>
  </si>
  <si>
    <t>This is the full quadratic equation.</t>
  </si>
  <si>
    <t>When the nonsignificant terms are removed and the model is refitted hierarchically, the final reduced model becomes:</t>
  </si>
  <si>
    <t>Y=81.8297+4.8942A+3.5783B+3.0067C+2.6692D+0.5100AB−0.9145A2−0.7732B2\boxed{ Y = 81.8297 +4.8942A +3.5783B +3.0067C +2.6692D +0.5100AB -0.9145A^2 -0.7732B^2 }Y=81.8297+4.8942A+3.5783B+3.0067C+2.6692D+0.5100AB−0.9145A2−0.7732B2​</t>
  </si>
  <si>
    <t>This reduced model gives:</t>
  </si>
  <si>
    <t>Statistic</t>
  </si>
  <si>
    <t>Value</t>
  </si>
  <si>
    <t>Residual MS</t>
  </si>
  <si>
    <t>This is an excellent reduced model.</t>
  </si>
  <si>
    <t>Run 12 should be called "independent confirmation" was actually performed as a separate experiment after completion of the BBD/model optimization.</t>
  </si>
  <si>
    <t xml:space="preserve">MANUSCRIPT REWRITING : </t>
  </si>
  <si>
    <t>I recommend structuring the Results section exactly like this:</t>
  </si>
  <si>
    <t>3.X Catalyst screening</t>
  </si>
  <si>
    <t>FA → RHA → BA 1:1 → BA 1:2</t>
  </si>
  <si>
    <t>BA 1:2 gives the highest screening performance and is selected.</t>
  </si>
  <si>
    <t>3.X RSM experimental design</t>
  </si>
  <si>
    <t>A four-factor, three-level BBD comprising 27 experimental runs, including three centre-point replicates.</t>
  </si>
  <si>
    <t>3.X Full quadratic model</t>
  </si>
  <si>
    <t>14 model degrees of freedom.</t>
  </si>
  <si>
    <t>R2=0.9974R^2=0.9974R2=0.9974 Radj2=0.9944R^2_{\mathrm{adj}}=0.9944Radj2​=0.9944 Rpred2=0.9861R^2_{\mathrm{pred}}=0.9861Rpred2​=0.9861 pmodel&lt;0.0001p_{\mathrm{model}}&lt;0.0001pmodel​&lt;0.0001 pLOF=0.446p_{\mathrm{LOF}}=0.446pLOF​=0.446</t>
  </si>
  <si>
    <t>3.X Reduced model</t>
  </si>
  <si>
    <t>Final significant hierarchical terms:</t>
  </si>
  <si>
    <t>A, B, C, D, AB, A² and B²</t>
  </si>
  <si>
    <t>3.X Optimization</t>
  </si>
  <si>
    <t>12:1 MeOH:oil, 4 wt.% BA 1:2, 65 °C, 180 min.</t>
  </si>
  <si>
    <t>Predicted:</t>
  </si>
  <si>
    <t>3.X Experimental confirmation</t>
  </si>
  <si>
    <t>Final reconstructed RSM package</t>
  </si>
  <si>
    <t>The version I recommend carrying forward is:</t>
  </si>
  <si>
    <t>Catalyst screening: 4 catalysts → BA 1:2 selected</t>
  </si>
  <si>
    <t>BBD: 27 runs</t>
  </si>
  <si>
    <t>Factors: A, B, C, D at −1/0/+1</t>
  </si>
  <si>
    <t>Full quadratic model: 14 df</t>
  </si>
  <si>
    <t>Model: F = 331.19, p &lt; 0.0001</t>
  </si>
  <si>
    <t>R²: 0.9974</t>
  </si>
  <si>
    <t>Adjusted R²: 0.9944</t>
  </si>
  <si>
    <t>Predicted R²: 0.9861</t>
  </si>
  <si>
    <t>Adequate Precision: 45.41</t>
  </si>
  <si>
    <t>Lack of fit: F = 1.595, p = 0.446</t>
  </si>
  <si>
    <t>Reduced model: A + B + C + D + AB + A² + B²</t>
  </si>
  <si>
    <t>Predicted optimum: 12:1, 4 wt.%, 65 °C, 180 min</t>
  </si>
  <si>
    <t>Predicted FAME: ≈94.80%</t>
  </si>
  <si>
    <t>Confirmation: 94.8 ± 0.5%</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</si>
</sst>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sz val="12.0"/>
      <color theme="1"/>
      <name val="Calibri"/>
      <scheme val="minor"/>
    </font>
    <font>
      <b/>
      <color theme="1"/>
      <name val="Calibri"/>
      <scheme val="minor"/>
    </font>
    <font>
      <color theme="1"/>
      <name val="Calibri"/>
      <scheme val="minor"/>
    </font>
    <font>
      <b/>
      <sz val="11.0"/>
      <color rgb="FF1F3864"/>
      <name val="Calibri"/>
    </font>
    <font/>
    <font>
      <b/>
      <sz val="14.0"/>
      <color theme="1"/>
      <name val="Calibri"/>
      <scheme val="minor"/>
    </font>
    <font>
      <sz val="10.0"/>
      <color rgb="FFFF0000"/>
      <name val="Calibri"/>
      <scheme val="minor"/>
    </font>
    <font>
      <sz val="10.0"/>
      <color theme="1"/>
      <name val="Calibri"/>
      <scheme val="minor"/>
    </font>
    <font>
      <b/>
      <sz val="10.0"/>
      <color rgb="FFFFFFFF"/>
      <name val="Calibri"/>
    </font>
    <font>
      <sz val="12.0"/>
      <color rgb="FFFF0000"/>
      <name val="Calibri"/>
      <scheme val="minor"/>
    </font>
    <font>
      <sz val="10.0"/>
      <color theme="1"/>
      <name val="Calibri"/>
    </font>
    <font>
      <b/>
      <sz val="10.0"/>
      <color theme="1"/>
      <name val="Calibri"/>
    </font>
    <font>
      <color rgb="FFFF0000"/>
      <name val="Calibri"/>
      <scheme val="minor"/>
    </font>
    <font>
      <b/>
      <sz val="12.0"/>
      <color theme="1"/>
      <name val="Calibri"/>
      <scheme val="minor"/>
    </font>
    <font>
      <u/>
      <color rgb="FF0000FF"/>
    </font>
    <font>
      <i/>
      <sz val="9.0"/>
      <color rgb="FF595959"/>
      <name val="Calibri"/>
    </font>
  </fonts>
  <fills count="6">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EBF3FF"/>
        <bgColor rgb="FFEBF3FF"/>
      </patternFill>
    </fill>
    <fill>
      <patternFill patternType="solid">
        <fgColor rgb="FFFFE2E2"/>
        <bgColor rgb="FFFFE2E2"/>
      </patternFill>
    </fill>
  </fills>
  <borders count="7">
    <border/>
    <border>
      <left style="thin">
        <color rgb="FF000000"/>
      </left>
      <right style="thin">
        <color rgb="FF000000"/>
      </right>
      <top style="thin">
        <color rgb="FF000000"/>
      </top>
      <bottom style="thin">
        <color rgb="FF000000"/>
      </bottom>
    </border>
    <border>
      <bottom style="medium">
        <color rgb="FF2E5090"/>
      </bottom>
    </border>
    <border>
      <left style="thin">
        <color rgb="FFAAAAAA"/>
      </left>
      <right style="thin">
        <color rgb="FFAAAAAA"/>
      </right>
      <top style="thin">
        <color rgb="FFAAAAAA"/>
      </top>
      <bottom style="thin">
        <color rgb="FFAAAAAA"/>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0" xfId="0" applyAlignment="1" applyFont="1">
      <alignment horizontal="center" readingOrder="0"/>
    </xf>
    <xf borderId="0" fillId="0" fontId="1" numFmtId="0" xfId="0" applyAlignment="1" applyFont="1">
      <alignment readingOrder="0" shrinkToFit="0" wrapText="1"/>
    </xf>
    <xf borderId="1" fillId="0" fontId="1" numFmtId="0" xfId="0" applyAlignment="1" applyBorder="1" applyFont="1">
      <alignment readingOrder="0"/>
    </xf>
    <xf borderId="1" fillId="0" fontId="1" numFmtId="0" xfId="0" applyBorder="1" applyFont="1"/>
    <xf borderId="1" fillId="0" fontId="1" numFmtId="0" xfId="0" applyAlignment="1" applyBorder="1" applyFont="1">
      <alignment horizontal="center" readingOrder="0"/>
    </xf>
    <xf borderId="0" fillId="0" fontId="2" numFmtId="0" xfId="0" applyAlignment="1" applyFont="1">
      <alignment horizontal="center" readingOrder="0"/>
    </xf>
    <xf borderId="0" fillId="0" fontId="3" numFmtId="0" xfId="0" applyAlignment="1" applyFont="1">
      <alignment readingOrder="0"/>
    </xf>
    <xf borderId="2" fillId="0" fontId="4" numFmtId="0" xfId="0" applyAlignment="1" applyBorder="1" applyFont="1">
      <alignment horizontal="left" shrinkToFit="0" vertical="center" wrapText="1"/>
    </xf>
    <xf borderId="2" fillId="0" fontId="5" numFmtId="0" xfId="0" applyBorder="1" applyFont="1"/>
    <xf borderId="0" fillId="0" fontId="2" numFmtId="0" xfId="0" applyAlignment="1" applyFont="1">
      <alignment horizontal="right" readingOrder="0"/>
    </xf>
    <xf borderId="0" fillId="0" fontId="3" numFmtId="0" xfId="0" applyAlignment="1" applyFont="1">
      <alignment horizontal="right" readingOrder="0"/>
    </xf>
    <xf borderId="0" fillId="0" fontId="3" numFmtId="0" xfId="0" applyAlignment="1" applyFont="1">
      <alignment horizontal="center" readingOrder="0"/>
    </xf>
    <xf borderId="1" fillId="0" fontId="2" numFmtId="0" xfId="0" applyAlignment="1" applyBorder="1" applyFont="1">
      <alignment horizontal="center" readingOrder="0" shrinkToFit="0" wrapText="1"/>
    </xf>
    <xf borderId="1" fillId="0" fontId="3" numFmtId="0" xfId="0" applyAlignment="1" applyBorder="1" applyFont="1">
      <alignment readingOrder="0" shrinkToFit="0" wrapText="1"/>
    </xf>
    <xf borderId="0" fillId="0" fontId="6" numFmtId="0" xfId="0" applyAlignment="1" applyFont="1">
      <alignment readingOrder="0"/>
    </xf>
    <xf borderId="0" fillId="0" fontId="6" numFmtId="0" xfId="0" applyFont="1"/>
    <xf borderId="0" fillId="0" fontId="3" numFmtId="0" xfId="0" applyAlignment="1" applyFont="1">
      <alignment readingOrder="0" shrinkToFit="0" wrapText="1"/>
    </xf>
    <xf borderId="0" fillId="0" fontId="7" numFmtId="0" xfId="0" applyAlignment="1" applyFont="1">
      <alignment readingOrder="0"/>
    </xf>
    <xf borderId="0" fillId="0" fontId="7" numFmtId="0" xfId="0" applyFont="1"/>
    <xf borderId="0" fillId="0" fontId="7" numFmtId="0" xfId="0" applyAlignment="1" applyFont="1">
      <alignment horizontal="center" readingOrder="0"/>
    </xf>
    <xf borderId="0" fillId="0" fontId="7" numFmtId="0" xfId="0" applyAlignment="1" applyFont="1">
      <alignment readingOrder="0" shrinkToFit="0" wrapText="1"/>
    </xf>
    <xf borderId="0" fillId="0" fontId="8" numFmtId="0" xfId="0" applyAlignment="1" applyFont="1">
      <alignment readingOrder="0"/>
    </xf>
    <xf borderId="0" fillId="0" fontId="8" numFmtId="0" xfId="0" applyFont="1"/>
    <xf borderId="0" fillId="0" fontId="8" numFmtId="0" xfId="0" applyAlignment="1" applyFont="1">
      <alignment horizontal="center" readingOrder="0"/>
    </xf>
    <xf borderId="3" fillId="2" fontId="9" numFmtId="0" xfId="0" applyAlignment="1" applyBorder="1" applyFill="1" applyFont="1">
      <alignment horizontal="center" shrinkToFit="0" vertical="center" wrapText="1"/>
    </xf>
    <xf borderId="0" fillId="0" fontId="10" numFmtId="0" xfId="0" applyAlignment="1" applyFont="1">
      <alignment readingOrder="0"/>
    </xf>
    <xf borderId="0" fillId="0" fontId="10" numFmtId="0" xfId="0" applyFont="1"/>
    <xf borderId="3" fillId="3" fontId="11" numFmtId="0" xfId="0" applyAlignment="1" applyBorder="1" applyFill="1" applyFont="1">
      <alignment horizontal="left" shrinkToFit="0" vertical="center" wrapText="1"/>
    </xf>
    <xf borderId="3" fillId="3" fontId="11" numFmtId="0" xfId="0" applyAlignment="1" applyBorder="1" applyFont="1">
      <alignment horizontal="center" shrinkToFit="0" vertical="center" wrapText="1"/>
    </xf>
    <xf borderId="3" fillId="4" fontId="11" numFmtId="0" xfId="0" applyAlignment="1" applyBorder="1" applyFill="1" applyFont="1">
      <alignment horizontal="left" shrinkToFit="0" vertical="center" wrapText="1"/>
    </xf>
    <xf borderId="3" fillId="4" fontId="11" numFmtId="0" xfId="0" applyAlignment="1" applyBorder="1" applyFont="1">
      <alignment horizontal="center" shrinkToFit="0" vertical="center" wrapText="1"/>
    </xf>
    <xf borderId="0" fillId="0" fontId="10" numFmtId="0" xfId="0" applyAlignment="1" applyFont="1">
      <alignment horizontal="center" readingOrder="0"/>
    </xf>
    <xf borderId="3" fillId="5" fontId="12" numFmtId="0" xfId="0" applyAlignment="1" applyBorder="1" applyFill="1" applyFont="1">
      <alignment horizontal="left" shrinkToFit="0" vertical="center" wrapText="1"/>
    </xf>
    <xf borderId="3" fillId="5" fontId="12" numFmtId="0" xfId="0" applyAlignment="1" applyBorder="1" applyFont="1">
      <alignment horizontal="center" shrinkToFit="0" vertical="center" wrapText="1"/>
    </xf>
    <xf borderId="1" fillId="0" fontId="2" numFmtId="0" xfId="0" applyAlignment="1" applyBorder="1" applyFont="1">
      <alignment horizontal="center" readingOrder="0"/>
    </xf>
    <xf borderId="1" fillId="0" fontId="3" numFmtId="0" xfId="0" applyAlignment="1" applyBorder="1" applyFont="1">
      <alignment readingOrder="0"/>
    </xf>
    <xf borderId="1" fillId="0" fontId="3" numFmtId="0" xfId="0" applyAlignment="1" applyBorder="1" applyFont="1">
      <alignment horizontal="left" readingOrder="0"/>
    </xf>
    <xf borderId="1" fillId="0" fontId="3" numFmtId="0" xfId="0" applyAlignment="1" applyBorder="1" applyFont="1">
      <alignment horizontal="left"/>
    </xf>
    <xf borderId="0" fillId="0" fontId="2" numFmtId="0" xfId="0" applyAlignment="1" applyFont="1">
      <alignment readingOrder="0"/>
    </xf>
    <xf borderId="0" fillId="0" fontId="3" numFmtId="0" xfId="0" applyAlignment="1" applyFont="1">
      <alignment horizontal="left" readingOrder="0"/>
    </xf>
    <xf borderId="0" fillId="0" fontId="3" numFmtId="0" xfId="0" applyAlignment="1" applyFont="1">
      <alignment shrinkToFit="0" wrapText="1"/>
    </xf>
    <xf borderId="0" fillId="0" fontId="13" numFmtId="0" xfId="0" applyAlignment="1" applyFont="1">
      <alignment readingOrder="0" shrinkToFit="0" wrapText="1"/>
    </xf>
    <xf borderId="4" fillId="0" fontId="14" numFmtId="0" xfId="0" applyAlignment="1" applyBorder="1" applyFont="1">
      <alignment readingOrder="0"/>
    </xf>
    <xf borderId="5" fillId="0" fontId="5" numFmtId="0" xfId="0" applyBorder="1" applyFont="1"/>
    <xf borderId="6" fillId="0" fontId="5" numFmtId="0" xfId="0" applyBorder="1" applyFont="1"/>
    <xf borderId="1" fillId="0" fontId="14" numFmtId="0" xfId="0" applyAlignment="1" applyBorder="1" applyFont="1">
      <alignment horizontal="center" readingOrder="0"/>
    </xf>
    <xf borderId="0" fillId="0" fontId="15" numFmtId="0" xfId="0" applyAlignment="1" applyFont="1">
      <alignment readingOrder="0"/>
    </xf>
    <xf borderId="0" fillId="0" fontId="16" numFmtId="0" xfId="0" applyAlignment="1" applyFont="1">
      <alignment horizontal="left" readingOrder="0" shrinkToFit="0" vertical="center" wrapText="1"/>
    </xf>
    <xf borderId="1" fillId="0" fontId="3" numFmtId="0" xfId="0" applyBorder="1" applyFont="1"/>
    <xf borderId="0" fillId="0" fontId="6"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876800" cy="3267075"/>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16</xdr:row>
      <xdr:rowOff>200025</xdr:rowOff>
    </xdr:from>
    <xdr:ext cx="4876800" cy="638175"/>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i.org/10.1016/j.cattod.2012.04.044" TargetMode="External"/><Relationship Id="rId2" Type="http://schemas.openxmlformats.org/officeDocument/2006/relationships/hyperlink" Target="https://doi.org/10.1016/j.enconman.2014.03.061" TargetMode="External"/><Relationship Id="rId3" Type="http://schemas.openxmlformats.org/officeDocument/2006/relationships/hyperlink" Target="https://doi.org/10.1016/j.jece.2015.12.031" TargetMode="External"/><Relationship Id="rId4" Type="http://schemas.openxmlformats.org/officeDocument/2006/relationships/hyperlink" Target="https://doi.org/10.1016/j.fuel.2016.11.016" TargetMode="External"/><Relationship Id="rId11" Type="http://schemas.openxmlformats.org/officeDocument/2006/relationships/drawing" Target="../drawings/drawing11.xml"/><Relationship Id="rId10" Type="http://schemas.openxmlformats.org/officeDocument/2006/relationships/hyperlink" Target="https://doi.org/10.1039/D5RA06382E" TargetMode="External"/><Relationship Id="rId9" Type="http://schemas.openxmlformats.org/officeDocument/2006/relationships/hyperlink" Target="https://doi.org/10.1016/j.biombioe.2025.108347" TargetMode="External"/><Relationship Id="rId5" Type="http://schemas.openxmlformats.org/officeDocument/2006/relationships/hyperlink" Target="https://doi.org/10.3390/catal12070706" TargetMode="External"/><Relationship Id="rId6" Type="http://schemas.openxmlformats.org/officeDocument/2006/relationships/hyperlink" Target="https://doi.org/10.1016/j.fuel.2023.130165" TargetMode="External"/><Relationship Id="rId7" Type="http://schemas.openxmlformats.org/officeDocument/2006/relationships/hyperlink" Target="https://doi.org/10.3390/catal14080553" TargetMode="External"/><Relationship Id="rId8" Type="http://schemas.openxmlformats.org/officeDocument/2006/relationships/hyperlink" Target="https://doi.org/10.1021/acsomega.5c10478?utm_source=chatgpt.com"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3" width="13.0"/>
    <col customWidth="1" min="4" max="4" width="16.0"/>
    <col customWidth="1" min="5" max="5" width="30.0"/>
    <col customWidth="1" min="6" max="26" width="8.71"/>
  </cols>
  <sheetData>
    <row r="2">
      <c r="A2" s="1" t="s">
        <v>0</v>
      </c>
      <c r="B2" s="2"/>
      <c r="C2" s="2"/>
      <c r="D2" s="2"/>
      <c r="E2" s="2"/>
    </row>
    <row r="3">
      <c r="A3" s="3" t="s">
        <v>1</v>
      </c>
      <c r="B3" s="3" t="s">
        <v>3</v>
      </c>
      <c r="C3" s="3" t="s">
        <v>5</v>
      </c>
      <c r="D3" s="3" t="s">
        <v>6</v>
      </c>
      <c r="E3" s="3" t="s">
        <v>7</v>
      </c>
    </row>
    <row r="4">
      <c r="A4" s="1" t="s">
        <v>8</v>
      </c>
      <c r="B4" s="1">
        <v>54.32</v>
      </c>
      <c r="C4" s="1">
        <v>92.01</v>
      </c>
      <c r="D4" s="1">
        <v>80.24</v>
      </c>
      <c r="E4" s="1" t="s">
        <v>11</v>
      </c>
    </row>
    <row r="5" ht="15.75" customHeight="1">
      <c r="A5" s="1" t="s">
        <v>12</v>
      </c>
      <c r="B5" s="1">
        <v>24.15</v>
      </c>
      <c r="C5" s="1">
        <v>0.74</v>
      </c>
      <c r="D5" s="1">
        <v>8.91</v>
      </c>
      <c r="E5" s="1" t="s">
        <v>15</v>
      </c>
    </row>
    <row r="6" ht="15.75" customHeight="1">
      <c r="A6" s="1" t="s">
        <v>16</v>
      </c>
      <c r="B6" s="1">
        <v>6.78</v>
      </c>
      <c r="C6" s="1">
        <v>0.42</v>
      </c>
      <c r="D6" s="1">
        <v>2.74</v>
      </c>
      <c r="E6" s="1" t="s">
        <v>22</v>
      </c>
    </row>
    <row r="7" ht="15.75" customHeight="1">
      <c r="A7" s="1" t="s">
        <v>25</v>
      </c>
      <c r="B7" s="1">
        <v>3.94</v>
      </c>
      <c r="C7" s="1">
        <v>1.23</v>
      </c>
      <c r="D7" s="1">
        <v>2.16</v>
      </c>
      <c r="E7" s="1" t="s">
        <v>30</v>
      </c>
    </row>
    <row r="8" ht="15.75" customHeight="1">
      <c r="A8" s="1" t="s">
        <v>32</v>
      </c>
      <c r="B8" s="1">
        <v>1.23</v>
      </c>
      <c r="C8" s="1">
        <v>3.64</v>
      </c>
      <c r="D8" s="1">
        <v>2.9</v>
      </c>
      <c r="E8" s="1" t="s">
        <v>40</v>
      </c>
    </row>
    <row r="9" ht="15.75" customHeight="1">
      <c r="A9" s="1" t="s">
        <v>42</v>
      </c>
      <c r="B9" s="1">
        <v>1.47</v>
      </c>
      <c r="C9" s="1">
        <v>0.56</v>
      </c>
      <c r="D9" s="1">
        <v>0.96</v>
      </c>
      <c r="E9" s="1" t="s">
        <v>45</v>
      </c>
    </row>
    <row r="10" ht="15.75" customHeight="1">
      <c r="A10" s="1" t="s">
        <v>47</v>
      </c>
      <c r="B10" s="1">
        <v>0.87</v>
      </c>
      <c r="C10" s="1">
        <v>0.31</v>
      </c>
      <c r="D10" s="1">
        <v>0.49</v>
      </c>
      <c r="E10" s="1" t="s">
        <v>51</v>
      </c>
    </row>
    <row r="11" ht="15.75" customHeight="1">
      <c r="A11" s="1" t="s">
        <v>54</v>
      </c>
      <c r="B11" s="1">
        <v>0.62</v>
      </c>
      <c r="C11" s="1">
        <v>0.87</v>
      </c>
      <c r="D11" s="1">
        <v>0.85</v>
      </c>
      <c r="E11" s="1" t="s">
        <v>58</v>
      </c>
    </row>
    <row r="12" ht="15.75" customHeight="1">
      <c r="A12" s="1" t="s">
        <v>61</v>
      </c>
      <c r="B12" s="1">
        <v>1.35</v>
      </c>
      <c r="C12" s="1">
        <v>0.08</v>
      </c>
      <c r="D12" s="1">
        <v>0.5</v>
      </c>
      <c r="E12" s="1" t="s">
        <v>66</v>
      </c>
    </row>
    <row r="13" ht="15.75" customHeight="1">
      <c r="A13" s="1" t="s">
        <v>67</v>
      </c>
      <c r="B13" s="1">
        <v>0.48</v>
      </c>
      <c r="C13" s="1">
        <v>0.14</v>
      </c>
      <c r="D13" s="1">
        <v>0.25</v>
      </c>
      <c r="E13" s="1" t="s">
        <v>71</v>
      </c>
    </row>
    <row r="14" ht="15.75" customHeight="1">
      <c r="A14" s="1" t="s">
        <v>73</v>
      </c>
      <c r="B14" s="1">
        <v>4.79</v>
      </c>
      <c r="C14" s="1" t="s">
        <v>70</v>
      </c>
      <c r="D14" s="1" t="s">
        <v>70</v>
      </c>
      <c r="E14" s="1" t="s">
        <v>76</v>
      </c>
    </row>
    <row r="15" ht="15.75" customHeight="1">
      <c r="A15" s="1" t="s">
        <v>77</v>
      </c>
      <c r="B15" s="1">
        <f t="shared" ref="B15:D15" si="1">SUM(B4:B14)</f>
        <v>100</v>
      </c>
      <c r="C15" s="1">
        <f t="shared" si="1"/>
        <v>100</v>
      </c>
      <c r="D15" s="1">
        <f t="shared" si="1"/>
        <v>100</v>
      </c>
      <c r="E15" s="1" t="s">
        <v>70</v>
      </c>
    </row>
    <row r="16" ht="15.75" customHeight="1">
      <c r="A16" s="2"/>
      <c r="B16" s="2"/>
      <c r="C16" s="2"/>
      <c r="D16" s="2"/>
      <c r="E16" s="2"/>
    </row>
    <row r="17" ht="15.75" customHeight="1">
      <c r="A17" s="4" t="s">
        <v>86</v>
      </c>
    </row>
    <row r="18" ht="15.75" customHeight="1"/>
    <row r="19" ht="15.75" customHeight="1"/>
    <row r="20" ht="52.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1">
    <mergeCell ref="A17:J20"/>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3" width="13.0"/>
    <col customWidth="1" min="4" max="4" width="16.0"/>
    <col customWidth="1" min="5" max="5" width="18.0"/>
    <col customWidth="1" min="6" max="26" width="8.71"/>
  </cols>
  <sheetData>
    <row r="2">
      <c r="A2" s="1" t="s">
        <v>4</v>
      </c>
      <c r="B2" s="2"/>
      <c r="C2" s="2"/>
      <c r="D2" s="2"/>
      <c r="E2" s="2"/>
    </row>
    <row r="3">
      <c r="A3" s="3" t="s">
        <v>10</v>
      </c>
      <c r="B3" s="3" t="s">
        <v>3</v>
      </c>
      <c r="C3" s="3" t="s">
        <v>5</v>
      </c>
      <c r="D3" s="3" t="s">
        <v>6</v>
      </c>
      <c r="E3" s="3" t="s">
        <v>14</v>
      </c>
    </row>
    <row r="4">
      <c r="A4" s="1" t="s">
        <v>19</v>
      </c>
      <c r="B4" s="1">
        <v>18.4</v>
      </c>
      <c r="C4" s="1">
        <v>41.2</v>
      </c>
      <c r="D4" s="1">
        <v>29.8</v>
      </c>
      <c r="E4" s="1" t="s">
        <v>65</v>
      </c>
    </row>
    <row r="5">
      <c r="A5" s="1" t="s">
        <v>68</v>
      </c>
      <c r="B5" s="1">
        <v>22.7</v>
      </c>
      <c r="C5" s="1" t="s">
        <v>70</v>
      </c>
      <c r="D5" s="1">
        <v>7.6</v>
      </c>
      <c r="E5" s="1" t="s">
        <v>72</v>
      </c>
    </row>
    <row r="6">
      <c r="A6" s="1" t="s">
        <v>74</v>
      </c>
      <c r="B6" s="1">
        <v>4.8</v>
      </c>
      <c r="C6" s="1" t="s">
        <v>70</v>
      </c>
      <c r="D6" s="1">
        <v>1.6</v>
      </c>
      <c r="E6" s="1" t="s">
        <v>78</v>
      </c>
    </row>
    <row r="7">
      <c r="A7" s="1" t="s">
        <v>80</v>
      </c>
      <c r="B7" s="1">
        <v>3.2</v>
      </c>
      <c r="C7" s="1">
        <v>0.9</v>
      </c>
      <c r="D7" s="1">
        <v>1.4</v>
      </c>
      <c r="E7" s="1" t="s">
        <v>81</v>
      </c>
    </row>
    <row r="8" ht="15.75" customHeight="1">
      <c r="A8" s="1" t="s">
        <v>82</v>
      </c>
      <c r="B8" s="1">
        <v>4.8</v>
      </c>
      <c r="C8" s="1">
        <v>3.2</v>
      </c>
      <c r="D8" s="1">
        <v>9.2</v>
      </c>
      <c r="E8" s="1" t="s">
        <v>83</v>
      </c>
    </row>
    <row r="9" ht="15.75" customHeight="1">
      <c r="A9" s="1" t="s">
        <v>84</v>
      </c>
      <c r="B9" s="1">
        <v>46.1</v>
      </c>
      <c r="C9" s="1">
        <v>54.7</v>
      </c>
      <c r="D9" s="1">
        <v>50.4</v>
      </c>
      <c r="E9" s="1" t="s">
        <v>70</v>
      </c>
    </row>
    <row r="10" ht="15.75" customHeight="1">
      <c r="A10" s="1" t="s">
        <v>85</v>
      </c>
      <c r="B10" s="1">
        <v>100.0</v>
      </c>
      <c r="C10" s="1">
        <v>100.0</v>
      </c>
      <c r="D10" s="1">
        <v>100.0</v>
      </c>
      <c r="E10" s="1" t="s">
        <v>70</v>
      </c>
    </row>
    <row r="11" ht="15.75" customHeight="1">
      <c r="A11" s="2"/>
      <c r="B11" s="2"/>
      <c r="C11" s="2"/>
      <c r="D11" s="2"/>
      <c r="E11" s="2"/>
    </row>
    <row r="12" ht="15.75" customHeight="1">
      <c r="A12" s="1"/>
      <c r="B12" s="2"/>
      <c r="C12" s="2"/>
      <c r="D12" s="2"/>
      <c r="E12" s="2"/>
    </row>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8.0"/>
    <col customWidth="1" min="2" max="5" width="14.0"/>
    <col customWidth="1" min="6" max="26" width="8.71"/>
  </cols>
  <sheetData>
    <row r="1">
      <c r="A1" s="1" t="s">
        <v>2</v>
      </c>
      <c r="B1" s="2"/>
      <c r="C1" s="2"/>
      <c r="D1" s="2"/>
      <c r="E1" s="2"/>
    </row>
    <row r="2">
      <c r="A2" s="3" t="s">
        <v>9</v>
      </c>
      <c r="B2" s="3" t="s">
        <v>17</v>
      </c>
      <c r="C2" s="3" t="s">
        <v>20</v>
      </c>
      <c r="D2" s="3" t="s">
        <v>23</v>
      </c>
      <c r="E2" s="3" t="s">
        <v>26</v>
      </c>
    </row>
    <row r="3">
      <c r="A3" s="1" t="s">
        <v>29</v>
      </c>
      <c r="B3" s="1" t="s">
        <v>31</v>
      </c>
      <c r="C3" s="1" t="s">
        <v>34</v>
      </c>
      <c r="D3" s="1" t="s">
        <v>36</v>
      </c>
      <c r="E3" s="1" t="s">
        <v>38</v>
      </c>
    </row>
    <row r="4">
      <c r="A4" s="1" t="s">
        <v>41</v>
      </c>
      <c r="B4" s="1">
        <v>0.048</v>
      </c>
      <c r="C4" s="1">
        <v>0.112</v>
      </c>
      <c r="D4" s="1">
        <v>0.135</v>
      </c>
      <c r="E4" s="1" t="s">
        <v>49</v>
      </c>
    </row>
    <row r="5">
      <c r="A5" s="1" t="s">
        <v>50</v>
      </c>
      <c r="B5" s="1">
        <v>15.4</v>
      </c>
      <c r="C5" s="1">
        <v>15.6</v>
      </c>
      <c r="D5" s="1">
        <v>15.6</v>
      </c>
      <c r="E5" s="1" t="s">
        <v>57</v>
      </c>
    </row>
    <row r="6">
      <c r="A6" s="1" t="s">
        <v>60</v>
      </c>
      <c r="B6" s="1">
        <v>1240.0</v>
      </c>
      <c r="C6" s="1">
        <v>4830.0</v>
      </c>
      <c r="D6" s="1">
        <v>3010.0</v>
      </c>
      <c r="E6" s="1">
        <v>3480.0</v>
      </c>
    </row>
    <row r="7">
      <c r="A7" s="1" t="s">
        <v>69</v>
      </c>
      <c r="B7" s="1">
        <v>3920.0</v>
      </c>
      <c r="C7" s="1">
        <v>1240.0</v>
      </c>
      <c r="D7" s="1">
        <v>2580.0</v>
      </c>
      <c r="E7" s="1">
        <v>2340.0</v>
      </c>
    </row>
    <row r="8">
      <c r="A8" s="1" t="s">
        <v>75</v>
      </c>
      <c r="B8" s="1">
        <v>1470.0</v>
      </c>
      <c r="C8" s="1">
        <v>560.0</v>
      </c>
      <c r="D8" s="1">
        <v>1020.0</v>
      </c>
      <c r="E8" s="1">
        <v>890.0</v>
      </c>
    </row>
    <row r="9" ht="15.75" customHeight="1">
      <c r="A9" s="1" t="s">
        <v>79</v>
      </c>
      <c r="B9" s="1">
        <v>6780.0</v>
      </c>
      <c r="C9" s="1">
        <v>420.0</v>
      </c>
      <c r="D9" s="1">
        <v>3620.0</v>
      </c>
      <c r="E9" s="1">
        <v>3240.0</v>
      </c>
    </row>
    <row r="10" ht="15.75" customHeight="1">
      <c r="A10" s="2"/>
      <c r="B10" s="2"/>
      <c r="C10" s="2"/>
      <c r="D10" s="2"/>
      <c r="E10" s="2"/>
    </row>
    <row r="11" ht="15.75" customHeight="1">
      <c r="A11" s="1"/>
      <c r="B11" s="2"/>
      <c r="C11" s="2"/>
      <c r="D11" s="2"/>
      <c r="E11" s="2"/>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4" width="18.0"/>
    <col customWidth="1" min="5" max="5" width="20.0"/>
    <col customWidth="1" min="6" max="26" width="8.71"/>
  </cols>
  <sheetData>
    <row r="2">
      <c r="A2" s="1" t="s">
        <v>13</v>
      </c>
      <c r="B2" s="2"/>
      <c r="C2" s="2"/>
      <c r="D2" s="2"/>
      <c r="E2" s="2"/>
    </row>
    <row r="3">
      <c r="A3" s="3" t="s">
        <v>18</v>
      </c>
      <c r="B3" s="3" t="s">
        <v>21</v>
      </c>
      <c r="C3" s="3" t="s">
        <v>24</v>
      </c>
      <c r="D3" s="3" t="s">
        <v>27</v>
      </c>
      <c r="E3" s="3" t="s">
        <v>28</v>
      </c>
    </row>
    <row r="4">
      <c r="A4" s="1" t="s">
        <v>17</v>
      </c>
      <c r="B4" s="1" t="s">
        <v>33</v>
      </c>
      <c r="C4" s="1" t="s">
        <v>35</v>
      </c>
      <c r="D4" s="1" t="s">
        <v>37</v>
      </c>
      <c r="E4" s="1" t="s">
        <v>39</v>
      </c>
    </row>
    <row r="5">
      <c r="A5" s="1" t="s">
        <v>20</v>
      </c>
      <c r="B5" s="1" t="s">
        <v>43</v>
      </c>
      <c r="C5" s="1" t="s">
        <v>44</v>
      </c>
      <c r="D5" s="1" t="s">
        <v>46</v>
      </c>
      <c r="E5" s="1" t="s">
        <v>48</v>
      </c>
    </row>
    <row r="6">
      <c r="A6" s="1" t="s">
        <v>23</v>
      </c>
      <c r="B6" s="1" t="s">
        <v>52</v>
      </c>
      <c r="C6" s="1" t="s">
        <v>53</v>
      </c>
      <c r="D6" s="1" t="s">
        <v>55</v>
      </c>
      <c r="E6" s="1" t="s">
        <v>56</v>
      </c>
    </row>
    <row r="7">
      <c r="A7" s="1" t="s">
        <v>26</v>
      </c>
      <c r="B7" s="1" t="s">
        <v>59</v>
      </c>
      <c r="C7" s="1" t="s">
        <v>62</v>
      </c>
      <c r="D7" s="1" t="s">
        <v>63</v>
      </c>
      <c r="E7" s="1" t="s">
        <v>64</v>
      </c>
    </row>
    <row r="8">
      <c r="A8" s="2"/>
      <c r="B8" s="2"/>
      <c r="C8" s="2"/>
      <c r="D8" s="2"/>
      <c r="E8" s="2"/>
    </row>
    <row r="9">
      <c r="A9" s="1"/>
      <c r="B9" s="2"/>
      <c r="C9" s="2"/>
      <c r="D9" s="2"/>
      <c r="E9" s="2"/>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4" width="12.0"/>
    <col customWidth="1" min="5" max="5" width="36.0"/>
    <col customWidth="1" min="6" max="26" width="8.71"/>
  </cols>
  <sheetData>
    <row r="2">
      <c r="A2" s="1" t="s">
        <v>87</v>
      </c>
      <c r="B2" s="2"/>
      <c r="C2" s="2"/>
      <c r="D2" s="2"/>
      <c r="E2" s="2"/>
    </row>
    <row r="3">
      <c r="A3" s="3" t="s">
        <v>18</v>
      </c>
      <c r="B3" s="3" t="s">
        <v>89</v>
      </c>
      <c r="C3" s="3" t="s">
        <v>90</v>
      </c>
      <c r="D3" s="3" t="s">
        <v>91</v>
      </c>
      <c r="E3" s="3" t="s">
        <v>92</v>
      </c>
    </row>
    <row r="4">
      <c r="A4" s="1" t="s">
        <v>17</v>
      </c>
      <c r="B4" s="1">
        <v>112.0</v>
      </c>
      <c r="C4" s="1">
        <v>263.0</v>
      </c>
      <c r="D4" s="1">
        <v>418.0</v>
      </c>
      <c r="E4" s="1" t="s">
        <v>93</v>
      </c>
    </row>
    <row r="5">
      <c r="A5" s="1" t="s">
        <v>20</v>
      </c>
      <c r="B5" s="1">
        <v>118.0</v>
      </c>
      <c r="C5" s="1">
        <v>297.0</v>
      </c>
      <c r="D5" s="1">
        <v>476.0</v>
      </c>
      <c r="E5" s="1" t="s">
        <v>95</v>
      </c>
    </row>
    <row r="6">
      <c r="A6" s="1" t="s">
        <v>23</v>
      </c>
      <c r="B6" s="1">
        <v>127.0</v>
      </c>
      <c r="C6" s="1">
        <v>318.0</v>
      </c>
      <c r="D6" s="1">
        <v>524.0</v>
      </c>
      <c r="E6" s="1" t="s">
        <v>97</v>
      </c>
    </row>
    <row r="7">
      <c r="A7" s="1" t="s">
        <v>26</v>
      </c>
      <c r="B7" s="1">
        <v>143.0</v>
      </c>
      <c r="C7" s="1">
        <v>342.0</v>
      </c>
      <c r="D7" s="1">
        <v>561.0</v>
      </c>
      <c r="E7" s="1" t="s">
        <v>101</v>
      </c>
    </row>
    <row r="8">
      <c r="A8" s="2"/>
      <c r="B8" s="2"/>
      <c r="C8" s="2"/>
      <c r="D8" s="2"/>
      <c r="E8" s="2"/>
    </row>
    <row r="9">
      <c r="A9" s="1"/>
      <c r="B9" s="2"/>
      <c r="C9" s="2"/>
      <c r="D9" s="2"/>
      <c r="E9" s="2"/>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14"/>
    <col customWidth="1" min="2" max="2" width="17.57"/>
    <col customWidth="1" min="3" max="3" width="14.14"/>
    <col customWidth="1" min="4" max="4" width="15.0"/>
    <col customWidth="1" min="5" max="5" width="10.71"/>
    <col customWidth="1" min="6" max="6" width="13.57"/>
    <col customWidth="1" min="7" max="7" width="18.86"/>
    <col customWidth="1" min="8" max="8" width="24.86"/>
    <col customWidth="1" min="9" max="10" width="9.71"/>
    <col customWidth="1" min="11" max="11" width="24.43"/>
    <col customWidth="1" min="12" max="16" width="8.71"/>
  </cols>
  <sheetData>
    <row r="1" ht="15.75" customHeight="1">
      <c r="B1" s="5" t="s">
        <v>88</v>
      </c>
      <c r="C1" s="6"/>
      <c r="D1" s="6"/>
      <c r="E1" s="6"/>
      <c r="F1" s="6"/>
      <c r="G1" s="6"/>
      <c r="H1" s="6"/>
    </row>
    <row r="2" ht="15.75" customHeight="1">
      <c r="B2" s="7" t="s">
        <v>94</v>
      </c>
      <c r="C2" s="7" t="s">
        <v>96</v>
      </c>
      <c r="D2" s="7" t="s">
        <v>98</v>
      </c>
      <c r="E2" s="7" t="s">
        <v>99</v>
      </c>
      <c r="F2" s="7" t="s">
        <v>100</v>
      </c>
      <c r="G2" s="7" t="s">
        <v>18</v>
      </c>
      <c r="H2" s="7" t="s">
        <v>102</v>
      </c>
    </row>
    <row r="3" ht="15.75" customHeight="1">
      <c r="A3" s="5"/>
      <c r="B3" s="5">
        <v>1.0</v>
      </c>
      <c r="C3" s="5" t="s">
        <v>103</v>
      </c>
      <c r="D3" s="5">
        <v>2.0</v>
      </c>
      <c r="E3" s="5">
        <v>60.0</v>
      </c>
      <c r="F3" s="5">
        <v>150.0</v>
      </c>
      <c r="G3" s="5" t="s">
        <v>26</v>
      </c>
      <c r="H3" s="5" t="s">
        <v>104</v>
      </c>
      <c r="J3" s="8"/>
      <c r="K3" s="8"/>
      <c r="L3" s="8"/>
      <c r="M3" s="8"/>
      <c r="N3" s="8"/>
      <c r="O3" s="8"/>
      <c r="P3" s="8"/>
    </row>
    <row r="4" ht="15.75" customHeight="1">
      <c r="A4" s="5"/>
      <c r="B4" s="5">
        <v>2.0</v>
      </c>
      <c r="C4" s="5" t="s">
        <v>103</v>
      </c>
      <c r="D4" s="5">
        <v>4.0</v>
      </c>
      <c r="E4" s="5">
        <v>60.0</v>
      </c>
      <c r="F4" s="5">
        <v>150.0</v>
      </c>
      <c r="G4" s="5" t="s">
        <v>26</v>
      </c>
      <c r="H4" s="5" t="s">
        <v>108</v>
      </c>
    </row>
    <row r="5" ht="15.75" customHeight="1">
      <c r="A5" s="5"/>
      <c r="B5" s="5">
        <v>3.0</v>
      </c>
      <c r="C5" s="5" t="s">
        <v>111</v>
      </c>
      <c r="D5" s="5">
        <v>2.0</v>
      </c>
      <c r="E5" s="5">
        <v>60.0</v>
      </c>
      <c r="F5" s="5">
        <v>150.0</v>
      </c>
      <c r="G5" s="5" t="s">
        <v>26</v>
      </c>
      <c r="H5" s="5" t="s">
        <v>114</v>
      </c>
    </row>
    <row r="6" ht="15.75" customHeight="1">
      <c r="A6" s="5"/>
      <c r="B6" s="5">
        <v>4.0</v>
      </c>
      <c r="C6" s="5" t="s">
        <v>111</v>
      </c>
      <c r="D6" s="5">
        <v>4.0</v>
      </c>
      <c r="E6" s="5">
        <v>60.0</v>
      </c>
      <c r="F6" s="5">
        <v>150.0</v>
      </c>
      <c r="G6" s="5" t="s">
        <v>26</v>
      </c>
      <c r="H6" s="5" t="s">
        <v>119</v>
      </c>
    </row>
    <row r="7" ht="15.75" customHeight="1">
      <c r="A7" s="5"/>
      <c r="B7" s="5">
        <v>5.0</v>
      </c>
      <c r="C7" s="5" t="s">
        <v>103</v>
      </c>
      <c r="D7" s="5">
        <v>3.0</v>
      </c>
      <c r="E7" s="5">
        <v>55.0</v>
      </c>
      <c r="F7" s="5">
        <v>150.0</v>
      </c>
      <c r="G7" s="5" t="s">
        <v>26</v>
      </c>
      <c r="H7" s="5" t="s">
        <v>121</v>
      </c>
    </row>
    <row r="8" ht="15.75" customHeight="1">
      <c r="A8" s="5"/>
      <c r="B8" s="5">
        <v>6.0</v>
      </c>
      <c r="C8" s="5" t="s">
        <v>103</v>
      </c>
      <c r="D8" s="5">
        <v>3.0</v>
      </c>
      <c r="E8" s="5">
        <v>65.0</v>
      </c>
      <c r="F8" s="5">
        <v>150.0</v>
      </c>
      <c r="G8" s="5" t="s">
        <v>26</v>
      </c>
      <c r="H8" s="5" t="s">
        <v>128</v>
      </c>
    </row>
    <row r="9" ht="15.75" customHeight="1">
      <c r="A9" s="5"/>
      <c r="B9" s="5">
        <v>7.0</v>
      </c>
      <c r="C9" s="5" t="s">
        <v>111</v>
      </c>
      <c r="D9" s="5">
        <v>3.0</v>
      </c>
      <c r="E9" s="5">
        <v>55.0</v>
      </c>
      <c r="F9" s="5">
        <v>150.0</v>
      </c>
      <c r="G9" s="5" t="s">
        <v>26</v>
      </c>
      <c r="H9" s="5" t="s">
        <v>129</v>
      </c>
    </row>
    <row r="10" ht="15.75" customHeight="1">
      <c r="A10" s="5"/>
      <c r="B10" s="5">
        <v>8.0</v>
      </c>
      <c r="C10" s="5" t="s">
        <v>111</v>
      </c>
      <c r="D10" s="5">
        <v>3.0</v>
      </c>
      <c r="E10" s="5">
        <v>65.0</v>
      </c>
      <c r="F10" s="5">
        <v>150.0</v>
      </c>
      <c r="G10" s="5" t="s">
        <v>26</v>
      </c>
      <c r="H10" s="5" t="s">
        <v>130</v>
      </c>
    </row>
    <row r="11" ht="15.75" customHeight="1">
      <c r="A11" s="5"/>
      <c r="B11" s="5">
        <v>9.0</v>
      </c>
      <c r="C11" s="5" t="s">
        <v>103</v>
      </c>
      <c r="D11" s="5">
        <v>3.0</v>
      </c>
      <c r="E11" s="5">
        <v>60.0</v>
      </c>
      <c r="F11" s="5">
        <v>120.0</v>
      </c>
      <c r="G11" s="5" t="s">
        <v>26</v>
      </c>
      <c r="H11" s="5" t="s">
        <v>136</v>
      </c>
    </row>
    <row r="12" ht="15.75" customHeight="1">
      <c r="A12" s="5"/>
      <c r="B12" s="5">
        <v>10.0</v>
      </c>
      <c r="C12" s="5" t="s">
        <v>103</v>
      </c>
      <c r="D12" s="5">
        <v>3.0</v>
      </c>
      <c r="E12" s="5">
        <v>60.0</v>
      </c>
      <c r="F12" s="5">
        <v>180.0</v>
      </c>
      <c r="G12" s="5" t="s">
        <v>26</v>
      </c>
      <c r="H12" s="5" t="s">
        <v>140</v>
      </c>
    </row>
    <row r="13" ht="15.75" customHeight="1">
      <c r="A13" s="5"/>
      <c r="B13" s="5">
        <v>11.0</v>
      </c>
      <c r="C13" s="5" t="s">
        <v>111</v>
      </c>
      <c r="D13" s="5">
        <v>3.0</v>
      </c>
      <c r="E13" s="5">
        <v>60.0</v>
      </c>
      <c r="F13" s="5">
        <v>120.0</v>
      </c>
      <c r="G13" s="5" t="s">
        <v>26</v>
      </c>
      <c r="H13" s="5" t="s">
        <v>148</v>
      </c>
    </row>
    <row r="14" ht="15.75" customHeight="1">
      <c r="A14" s="5"/>
      <c r="B14" s="5">
        <v>12.0</v>
      </c>
      <c r="C14" s="5" t="s">
        <v>111</v>
      </c>
      <c r="D14" s="5">
        <v>3.0</v>
      </c>
      <c r="E14" s="5">
        <v>60.0</v>
      </c>
      <c r="F14" s="5">
        <v>180.0</v>
      </c>
      <c r="G14" s="5" t="s">
        <v>26</v>
      </c>
      <c r="H14" s="5" t="s">
        <v>155</v>
      </c>
    </row>
    <row r="15" ht="15.75" customHeight="1">
      <c r="A15" s="5"/>
      <c r="B15" s="5">
        <v>13.0</v>
      </c>
      <c r="C15" s="5" t="s">
        <v>158</v>
      </c>
      <c r="D15" s="5">
        <v>2.0</v>
      </c>
      <c r="E15" s="5">
        <v>55.0</v>
      </c>
      <c r="F15" s="5">
        <v>150.0</v>
      </c>
      <c r="G15" s="5" t="s">
        <v>26</v>
      </c>
      <c r="H15" s="5" t="s">
        <v>162</v>
      </c>
    </row>
    <row r="16" ht="15.75" customHeight="1">
      <c r="A16" s="5"/>
      <c r="B16" s="5">
        <v>14.0</v>
      </c>
      <c r="C16" s="5" t="s">
        <v>158</v>
      </c>
      <c r="D16" s="5">
        <v>2.0</v>
      </c>
      <c r="E16" s="5">
        <v>65.0</v>
      </c>
      <c r="F16" s="5">
        <v>150.0</v>
      </c>
      <c r="G16" s="5" t="s">
        <v>26</v>
      </c>
      <c r="H16" s="5" t="s">
        <v>167</v>
      </c>
    </row>
    <row r="17" ht="15.75" customHeight="1">
      <c r="A17" s="5"/>
      <c r="B17" s="5">
        <v>15.0</v>
      </c>
      <c r="C17" s="5" t="s">
        <v>158</v>
      </c>
      <c r="D17" s="5">
        <v>4.0</v>
      </c>
      <c r="E17" s="5">
        <v>55.0</v>
      </c>
      <c r="F17" s="5">
        <v>150.0</v>
      </c>
      <c r="G17" s="5" t="s">
        <v>26</v>
      </c>
      <c r="H17" s="5" t="s">
        <v>171</v>
      </c>
    </row>
    <row r="18" ht="15.75" customHeight="1">
      <c r="A18" s="5"/>
      <c r="B18" s="5">
        <v>16.0</v>
      </c>
      <c r="C18" s="5" t="s">
        <v>158</v>
      </c>
      <c r="D18" s="5">
        <v>4.0</v>
      </c>
      <c r="E18" s="5">
        <v>65.0</v>
      </c>
      <c r="F18" s="5">
        <v>150.0</v>
      </c>
      <c r="G18" s="5" t="s">
        <v>26</v>
      </c>
      <c r="H18" s="5" t="s">
        <v>176</v>
      </c>
    </row>
    <row r="19" ht="15.75" customHeight="1">
      <c r="A19" s="5"/>
      <c r="B19" s="5">
        <v>17.0</v>
      </c>
      <c r="C19" s="5" t="s">
        <v>158</v>
      </c>
      <c r="D19" s="5">
        <v>2.0</v>
      </c>
      <c r="E19" s="5">
        <v>60.0</v>
      </c>
      <c r="F19" s="5">
        <v>120.0</v>
      </c>
      <c r="G19" s="5" t="s">
        <v>26</v>
      </c>
      <c r="H19" s="5" t="s">
        <v>179</v>
      </c>
    </row>
    <row r="20" ht="15.75" customHeight="1">
      <c r="A20" s="5"/>
      <c r="B20" s="5">
        <v>18.0</v>
      </c>
      <c r="C20" s="5" t="s">
        <v>158</v>
      </c>
      <c r="D20" s="5">
        <v>2.0</v>
      </c>
      <c r="E20" s="5">
        <v>60.0</v>
      </c>
      <c r="F20" s="5">
        <v>180.0</v>
      </c>
      <c r="G20" s="5" t="s">
        <v>26</v>
      </c>
      <c r="H20" s="5" t="s">
        <v>180</v>
      </c>
    </row>
    <row r="21" ht="15.75" customHeight="1">
      <c r="A21" s="5"/>
      <c r="B21" s="5">
        <v>19.0</v>
      </c>
      <c r="C21" s="5" t="s">
        <v>158</v>
      </c>
      <c r="D21" s="5">
        <v>4.0</v>
      </c>
      <c r="E21" s="5">
        <v>60.0</v>
      </c>
      <c r="F21" s="5">
        <v>120.0</v>
      </c>
      <c r="G21" s="5" t="s">
        <v>26</v>
      </c>
      <c r="H21" s="5" t="s">
        <v>185</v>
      </c>
    </row>
    <row r="22" ht="15.75" customHeight="1">
      <c r="A22" s="5"/>
      <c r="B22" s="5">
        <v>20.0</v>
      </c>
      <c r="C22" s="5" t="s">
        <v>158</v>
      </c>
      <c r="D22" s="5">
        <v>4.0</v>
      </c>
      <c r="E22" s="5">
        <v>60.0</v>
      </c>
      <c r="F22" s="5">
        <v>180.0</v>
      </c>
      <c r="G22" s="5" t="s">
        <v>26</v>
      </c>
      <c r="H22" s="5" t="s">
        <v>190</v>
      </c>
    </row>
    <row r="23" ht="15.75" customHeight="1">
      <c r="A23" s="5"/>
      <c r="B23" s="5">
        <v>21.0</v>
      </c>
      <c r="C23" s="5" t="s">
        <v>158</v>
      </c>
      <c r="D23" s="5">
        <v>3.0</v>
      </c>
      <c r="E23" s="5">
        <v>55.0</v>
      </c>
      <c r="F23" s="5">
        <v>120.0</v>
      </c>
      <c r="G23" s="5" t="s">
        <v>26</v>
      </c>
      <c r="H23" s="5" t="s">
        <v>197</v>
      </c>
    </row>
    <row r="24" ht="15.75" customHeight="1">
      <c r="A24" s="5"/>
      <c r="B24" s="5">
        <v>22.0</v>
      </c>
      <c r="C24" s="5" t="s">
        <v>158</v>
      </c>
      <c r="D24" s="5">
        <v>3.0</v>
      </c>
      <c r="E24" s="5">
        <v>55.0</v>
      </c>
      <c r="F24" s="5">
        <v>180.0</v>
      </c>
      <c r="G24" s="5" t="s">
        <v>26</v>
      </c>
      <c r="H24" s="5" t="s">
        <v>204</v>
      </c>
    </row>
    <row r="25" ht="15.75" customHeight="1">
      <c r="A25" s="5"/>
      <c r="B25" s="5">
        <v>23.0</v>
      </c>
      <c r="C25" s="5" t="s">
        <v>158</v>
      </c>
      <c r="D25" s="5">
        <v>3.0</v>
      </c>
      <c r="E25" s="5">
        <v>65.0</v>
      </c>
      <c r="F25" s="5">
        <v>120.0</v>
      </c>
      <c r="G25" s="5" t="s">
        <v>26</v>
      </c>
      <c r="H25" s="5" t="s">
        <v>207</v>
      </c>
    </row>
    <row r="26" ht="15.75" customHeight="1">
      <c r="A26" s="5"/>
      <c r="B26" s="5">
        <v>24.0</v>
      </c>
      <c r="C26" s="5" t="s">
        <v>158</v>
      </c>
      <c r="D26" s="5">
        <v>3.0</v>
      </c>
      <c r="E26" s="5">
        <v>65.0</v>
      </c>
      <c r="F26" s="5">
        <v>180.0</v>
      </c>
      <c r="G26" s="5" t="s">
        <v>26</v>
      </c>
      <c r="H26" s="5" t="s">
        <v>214</v>
      </c>
    </row>
    <row r="27" ht="15.75" customHeight="1">
      <c r="A27" s="5"/>
      <c r="B27" s="5">
        <v>25.0</v>
      </c>
      <c r="C27" s="5" t="s">
        <v>158</v>
      </c>
      <c r="D27" s="5">
        <v>3.0</v>
      </c>
      <c r="E27" s="5">
        <v>60.0</v>
      </c>
      <c r="F27" s="5">
        <v>150.0</v>
      </c>
      <c r="G27" s="5" t="s">
        <v>26</v>
      </c>
      <c r="H27" s="5" t="s">
        <v>218</v>
      </c>
    </row>
    <row r="28" ht="15.75" customHeight="1">
      <c r="A28" s="5"/>
      <c r="B28" s="5">
        <v>26.0</v>
      </c>
      <c r="C28" s="5" t="s">
        <v>158</v>
      </c>
      <c r="D28" s="5">
        <v>3.0</v>
      </c>
      <c r="E28" s="5">
        <v>60.0</v>
      </c>
      <c r="F28" s="5">
        <v>150.0</v>
      </c>
      <c r="G28" s="5" t="s">
        <v>26</v>
      </c>
      <c r="H28" s="5" t="s">
        <v>221</v>
      </c>
    </row>
    <row r="29" ht="15.75" customHeight="1">
      <c r="A29" s="5"/>
      <c r="B29" s="5">
        <v>27.0</v>
      </c>
      <c r="C29" s="5" t="s">
        <v>158</v>
      </c>
      <c r="D29" s="5">
        <v>3.0</v>
      </c>
      <c r="E29" s="5">
        <v>60.0</v>
      </c>
      <c r="F29" s="5">
        <v>150.0</v>
      </c>
      <c r="G29" s="5" t="s">
        <v>26</v>
      </c>
      <c r="H29" s="5" t="s">
        <v>228</v>
      </c>
    </row>
    <row r="30" ht="15.75" customHeight="1"/>
    <row r="31" ht="15.75" customHeight="1">
      <c r="A31" s="5"/>
      <c r="B31" s="5"/>
      <c r="D31" s="13"/>
      <c r="E31" s="13"/>
    </row>
    <row r="32" ht="15.75" customHeight="1">
      <c r="B32" s="1" t="s">
        <v>229</v>
      </c>
      <c r="C32" s="2"/>
      <c r="D32" s="2"/>
      <c r="E32" s="2"/>
      <c r="F32" s="2"/>
      <c r="G32" s="2"/>
      <c r="H32" s="2"/>
    </row>
    <row r="33" ht="15.75" customHeight="1">
      <c r="B33" s="3" t="s">
        <v>231</v>
      </c>
      <c r="C33" s="3" t="s">
        <v>96</v>
      </c>
      <c r="D33" s="3" t="s">
        <v>233</v>
      </c>
      <c r="E33" s="3" t="s">
        <v>225</v>
      </c>
      <c r="F33" s="3" t="s">
        <v>100</v>
      </c>
      <c r="G33" s="3" t="s">
        <v>18</v>
      </c>
      <c r="H33" s="3" t="s">
        <v>102</v>
      </c>
    </row>
    <row r="34" ht="15.75" customHeight="1">
      <c r="B34" s="1" t="s">
        <v>236</v>
      </c>
      <c r="C34" s="1" t="s">
        <v>111</v>
      </c>
      <c r="D34" s="1">
        <v>4.0</v>
      </c>
      <c r="E34" s="1">
        <v>65.0</v>
      </c>
      <c r="F34" s="1">
        <v>180.0</v>
      </c>
      <c r="G34" s="1" t="s">
        <v>26</v>
      </c>
      <c r="H34" s="1" t="s">
        <v>238</v>
      </c>
    </row>
    <row r="35" ht="15.75" customHeight="1">
      <c r="B35" s="1" t="s">
        <v>240</v>
      </c>
      <c r="C35" s="1" t="s">
        <v>111</v>
      </c>
      <c r="D35" s="1">
        <v>4.0</v>
      </c>
      <c r="E35" s="1">
        <v>65.0</v>
      </c>
      <c r="F35" s="1">
        <v>180.0</v>
      </c>
      <c r="G35" s="1" t="s">
        <v>26</v>
      </c>
      <c r="H35" s="1" t="s">
        <v>242</v>
      </c>
    </row>
    <row r="36" ht="15.75" customHeight="1"/>
    <row r="37" ht="15.75" customHeight="1">
      <c r="B37" s="5" t="s">
        <v>88</v>
      </c>
    </row>
    <row r="38" ht="15.75" customHeight="1">
      <c r="B38" s="7" t="s">
        <v>94</v>
      </c>
      <c r="C38" s="7" t="s">
        <v>96</v>
      </c>
      <c r="D38" s="7" t="s">
        <v>98</v>
      </c>
      <c r="E38" s="7" t="s">
        <v>99</v>
      </c>
      <c r="F38" s="7" t="s">
        <v>100</v>
      </c>
      <c r="G38" s="7" t="s">
        <v>18</v>
      </c>
      <c r="H38" s="8" t="s">
        <v>247</v>
      </c>
      <c r="I38" s="8" t="s">
        <v>249</v>
      </c>
      <c r="J38" s="8" t="s">
        <v>250</v>
      </c>
      <c r="K38" s="8" t="s">
        <v>251</v>
      </c>
    </row>
    <row r="39" ht="15.75" customHeight="1">
      <c r="B39" s="9">
        <v>1.0</v>
      </c>
      <c r="C39" s="9" t="s">
        <v>103</v>
      </c>
      <c r="D39" s="9">
        <v>2.0</v>
      </c>
      <c r="E39" s="9">
        <v>60.0</v>
      </c>
      <c r="F39" s="9">
        <v>150.0</v>
      </c>
      <c r="G39" s="9" t="s">
        <v>26</v>
      </c>
      <c r="H39" s="9">
        <v>72.1</v>
      </c>
      <c r="I39" s="9">
        <v>72.59</v>
      </c>
      <c r="J39" s="9">
        <v>72.54</v>
      </c>
      <c r="K39" s="9" t="s">
        <v>255</v>
      </c>
    </row>
    <row r="40" ht="15.75" customHeight="1">
      <c r="B40" s="9">
        <v>2.0</v>
      </c>
      <c r="C40" s="9" t="s">
        <v>103</v>
      </c>
      <c r="D40" s="9">
        <v>4.0</v>
      </c>
      <c r="E40" s="9">
        <v>60.0</v>
      </c>
      <c r="F40" s="9">
        <v>150.0</v>
      </c>
      <c r="G40" s="9" t="s">
        <v>26</v>
      </c>
      <c r="H40" s="9">
        <v>78.11</v>
      </c>
      <c r="I40" s="9">
        <v>78.39</v>
      </c>
      <c r="J40" s="9">
        <v>78.46</v>
      </c>
      <c r="K40" s="9" t="s">
        <v>256</v>
      </c>
    </row>
    <row r="41" ht="15.75" customHeight="1">
      <c r="B41" s="9">
        <v>3.0</v>
      </c>
      <c r="C41" s="9" t="s">
        <v>111</v>
      </c>
      <c r="D41" s="9">
        <v>2.0</v>
      </c>
      <c r="E41" s="9">
        <v>60.0</v>
      </c>
      <c r="F41" s="9">
        <v>150.0</v>
      </c>
      <c r="G41" s="9" t="s">
        <v>26</v>
      </c>
      <c r="H41" s="9">
        <v>80.59</v>
      </c>
      <c r="I41" s="9">
        <v>80.98</v>
      </c>
      <c r="J41" s="9">
        <v>81.04</v>
      </c>
      <c r="K41" s="9" t="s">
        <v>257</v>
      </c>
    </row>
    <row r="42" ht="15.75" customHeight="1">
      <c r="B42" s="9">
        <v>4.0</v>
      </c>
      <c r="C42" s="9" t="s">
        <v>111</v>
      </c>
      <c r="D42" s="9">
        <v>4.0</v>
      </c>
      <c r="E42" s="9">
        <v>60.0</v>
      </c>
      <c r="F42" s="9">
        <v>150.0</v>
      </c>
      <c r="G42" s="9" t="s">
        <v>26</v>
      </c>
      <c r="H42" s="9">
        <v>88.75</v>
      </c>
      <c r="I42" s="9">
        <v>88.99</v>
      </c>
      <c r="J42" s="9">
        <v>89.08</v>
      </c>
      <c r="K42" s="9" t="s">
        <v>258</v>
      </c>
    </row>
    <row r="43" ht="15.75" customHeight="1">
      <c r="B43" s="9">
        <v>5.0</v>
      </c>
      <c r="C43" s="9" t="s">
        <v>103</v>
      </c>
      <c r="D43" s="9">
        <v>3.0</v>
      </c>
      <c r="E43" s="9">
        <v>55.0</v>
      </c>
      <c r="F43" s="9">
        <v>150.0</v>
      </c>
      <c r="G43" s="9" t="s">
        <v>26</v>
      </c>
      <c r="H43" s="9">
        <v>73.02</v>
      </c>
      <c r="I43" s="9">
        <v>73.48</v>
      </c>
      <c r="J43" s="9">
        <v>73.58</v>
      </c>
      <c r="K43" s="9" t="s">
        <v>259</v>
      </c>
    </row>
    <row r="44" ht="15.75" customHeight="1">
      <c r="B44" s="9">
        <v>6.0</v>
      </c>
      <c r="C44" s="9" t="s">
        <v>103</v>
      </c>
      <c r="D44" s="9">
        <v>3.0</v>
      </c>
      <c r="E44" s="9">
        <v>65.0</v>
      </c>
      <c r="F44" s="9">
        <v>150.0</v>
      </c>
      <c r="G44" s="9" t="s">
        <v>26</v>
      </c>
      <c r="H44" s="9">
        <v>78.45</v>
      </c>
      <c r="I44" s="9">
        <v>78.8</v>
      </c>
      <c r="J44" s="9">
        <v>78.88</v>
      </c>
      <c r="K44" s="9" t="s">
        <v>261</v>
      </c>
    </row>
    <row r="45" ht="15.75" customHeight="1">
      <c r="B45" s="9">
        <v>7.0</v>
      </c>
      <c r="C45" s="9" t="s">
        <v>111</v>
      </c>
      <c r="D45" s="9">
        <v>3.0</v>
      </c>
      <c r="E45" s="9">
        <v>55.0</v>
      </c>
      <c r="F45" s="9">
        <v>150.0</v>
      </c>
      <c r="G45" s="9" t="s">
        <v>26</v>
      </c>
      <c r="H45" s="9">
        <v>82.07</v>
      </c>
      <c r="I45" s="9">
        <v>82.27</v>
      </c>
      <c r="J45" s="9">
        <v>82.38</v>
      </c>
      <c r="K45" s="9" t="s">
        <v>262</v>
      </c>
    </row>
    <row r="46" ht="15.75" customHeight="1">
      <c r="B46" s="9">
        <v>8.0</v>
      </c>
      <c r="C46" s="9" t="s">
        <v>111</v>
      </c>
      <c r="D46" s="9">
        <v>3.0</v>
      </c>
      <c r="E46" s="9">
        <v>65.0</v>
      </c>
      <c r="F46" s="9">
        <v>150.0</v>
      </c>
      <c r="G46" s="9" t="s">
        <v>26</v>
      </c>
      <c r="H46" s="9">
        <v>88.86</v>
      </c>
      <c r="I46" s="9">
        <v>89.14</v>
      </c>
      <c r="J46" s="9">
        <v>89.24</v>
      </c>
      <c r="K46" s="9" t="s">
        <v>264</v>
      </c>
    </row>
    <row r="47" ht="15.75" customHeight="1">
      <c r="B47" s="9">
        <v>9.0</v>
      </c>
      <c r="C47" s="9" t="s">
        <v>103</v>
      </c>
      <c r="D47" s="9">
        <v>3.0</v>
      </c>
      <c r="E47" s="9">
        <v>60.0</v>
      </c>
      <c r="F47" s="9">
        <v>120.0</v>
      </c>
      <c r="G47" s="9" t="s">
        <v>26</v>
      </c>
      <c r="H47" s="9">
        <v>72.44</v>
      </c>
      <c r="I47" s="9">
        <v>72.77</v>
      </c>
      <c r="J47" s="9">
        <v>72.86</v>
      </c>
      <c r="K47" s="9" t="s">
        <v>265</v>
      </c>
    </row>
    <row r="48" ht="15.75" customHeight="1">
      <c r="B48" s="9">
        <v>10.0</v>
      </c>
      <c r="C48" s="9" t="s">
        <v>103</v>
      </c>
      <c r="D48" s="9">
        <v>3.0</v>
      </c>
      <c r="E48" s="9">
        <v>60.0</v>
      </c>
      <c r="F48" s="9">
        <v>180.0</v>
      </c>
      <c r="G48" s="9" t="s">
        <v>26</v>
      </c>
      <c r="H48" s="9">
        <v>78.98</v>
      </c>
      <c r="I48" s="9">
        <v>79.18</v>
      </c>
      <c r="J48" s="9">
        <v>79.32</v>
      </c>
      <c r="K48" s="9" t="s">
        <v>271</v>
      </c>
    </row>
    <row r="49" ht="15.75" customHeight="1">
      <c r="B49" s="9">
        <v>11.0</v>
      </c>
      <c r="C49" s="9" t="s">
        <v>111</v>
      </c>
      <c r="D49" s="9">
        <v>3.0</v>
      </c>
      <c r="E49" s="9">
        <v>60.0</v>
      </c>
      <c r="F49" s="9">
        <v>120.0</v>
      </c>
      <c r="G49" s="9" t="s">
        <v>26</v>
      </c>
      <c r="H49" s="9">
        <v>82.74</v>
      </c>
      <c r="I49" s="9">
        <v>83.07</v>
      </c>
      <c r="J49" s="9">
        <v>83.13</v>
      </c>
      <c r="K49" s="9" t="s">
        <v>276</v>
      </c>
    </row>
    <row r="50" ht="15.75" customHeight="1">
      <c r="B50" s="9">
        <v>12.0</v>
      </c>
      <c r="C50" s="9" t="s">
        <v>111</v>
      </c>
      <c r="D50" s="9">
        <v>3.0</v>
      </c>
      <c r="E50" s="9">
        <v>60.0</v>
      </c>
      <c r="F50" s="9">
        <v>180.0</v>
      </c>
      <c r="G50" s="9" t="s">
        <v>26</v>
      </c>
      <c r="H50" s="9">
        <v>88.7</v>
      </c>
      <c r="I50" s="9">
        <v>88.9</v>
      </c>
      <c r="J50" s="9">
        <v>88.98</v>
      </c>
      <c r="K50" s="9" t="s">
        <v>280</v>
      </c>
    </row>
    <row r="51" ht="15.75" customHeight="1">
      <c r="B51" s="9">
        <v>13.0</v>
      </c>
      <c r="C51" s="9" t="s">
        <v>158</v>
      </c>
      <c r="D51" s="9">
        <v>2.0</v>
      </c>
      <c r="E51" s="9">
        <v>55.0</v>
      </c>
      <c r="F51" s="9">
        <v>150.0</v>
      </c>
      <c r="G51" s="9" t="s">
        <v>26</v>
      </c>
      <c r="H51" s="9">
        <v>74.32</v>
      </c>
      <c r="I51" s="9">
        <v>74.68</v>
      </c>
      <c r="J51" s="9">
        <v>74.83</v>
      </c>
      <c r="K51" s="9" t="s">
        <v>286</v>
      </c>
    </row>
    <row r="52" ht="15.75" customHeight="1">
      <c r="B52" s="9">
        <v>14.0</v>
      </c>
      <c r="C52" s="9" t="s">
        <v>158</v>
      </c>
      <c r="D52" s="9">
        <v>2.0</v>
      </c>
      <c r="E52" s="9">
        <v>65.0</v>
      </c>
      <c r="F52" s="9">
        <v>150.0</v>
      </c>
      <c r="G52" s="9" t="s">
        <v>26</v>
      </c>
      <c r="H52" s="9">
        <v>79.58</v>
      </c>
      <c r="I52" s="9">
        <v>79.77</v>
      </c>
      <c r="J52" s="9">
        <v>79.93</v>
      </c>
      <c r="K52" s="9" t="s">
        <v>291</v>
      </c>
    </row>
    <row r="53" ht="15.75" customHeight="1">
      <c r="B53" s="9">
        <v>15.0</v>
      </c>
      <c r="C53" s="9" t="s">
        <v>158</v>
      </c>
      <c r="D53" s="9">
        <v>4.0</v>
      </c>
      <c r="E53" s="9">
        <v>55.0</v>
      </c>
      <c r="F53" s="9">
        <v>150.0</v>
      </c>
      <c r="G53" s="9" t="s">
        <v>26</v>
      </c>
      <c r="H53" s="9">
        <v>81.51</v>
      </c>
      <c r="I53" s="9">
        <v>81.82</v>
      </c>
      <c r="J53" s="9">
        <v>81.89</v>
      </c>
      <c r="K53" s="9" t="s">
        <v>301</v>
      </c>
    </row>
    <row r="54" ht="15.75" customHeight="1">
      <c r="B54" s="9">
        <v>16.0</v>
      </c>
      <c r="C54" s="9" t="s">
        <v>158</v>
      </c>
      <c r="D54" s="9">
        <v>4.0</v>
      </c>
      <c r="E54" s="9">
        <v>65.0</v>
      </c>
      <c r="F54" s="9">
        <v>150.0</v>
      </c>
      <c r="G54" s="9" t="s">
        <v>26</v>
      </c>
      <c r="H54" s="9">
        <v>87.54</v>
      </c>
      <c r="I54" s="9">
        <v>87.73</v>
      </c>
      <c r="J54" s="9">
        <v>87.8</v>
      </c>
      <c r="K54" s="9" t="s">
        <v>307</v>
      </c>
    </row>
    <row r="55" ht="15.75" customHeight="1">
      <c r="B55" s="9">
        <v>17.0</v>
      </c>
      <c r="C55" s="9" t="s">
        <v>158</v>
      </c>
      <c r="D55" s="9">
        <v>2.0</v>
      </c>
      <c r="E55" s="9">
        <v>60.0</v>
      </c>
      <c r="F55" s="9">
        <v>120.0</v>
      </c>
      <c r="G55" s="9" t="s">
        <v>26</v>
      </c>
      <c r="H55" s="9">
        <v>74.91</v>
      </c>
      <c r="I55" s="9">
        <v>75.27</v>
      </c>
      <c r="J55" s="9">
        <v>75.36</v>
      </c>
      <c r="K55" s="9" t="s">
        <v>311</v>
      </c>
    </row>
    <row r="56" ht="15.75" customHeight="1">
      <c r="B56" s="9">
        <v>18.0</v>
      </c>
      <c r="C56" s="9" t="s">
        <v>158</v>
      </c>
      <c r="D56" s="9">
        <v>2.0</v>
      </c>
      <c r="E56" s="9">
        <v>60.0</v>
      </c>
      <c r="F56" s="9">
        <v>180.0</v>
      </c>
      <c r="G56" s="9" t="s">
        <v>26</v>
      </c>
      <c r="H56" s="9">
        <v>79.99</v>
      </c>
      <c r="I56" s="9">
        <v>80.24</v>
      </c>
      <c r="J56" s="9">
        <v>80.34</v>
      </c>
      <c r="K56" s="9" t="s">
        <v>316</v>
      </c>
    </row>
    <row r="57" ht="15.75" customHeight="1">
      <c r="B57" s="9">
        <v>19.0</v>
      </c>
      <c r="C57" s="9" t="s">
        <v>158</v>
      </c>
      <c r="D57" s="9">
        <v>4.0</v>
      </c>
      <c r="E57" s="9">
        <v>60.0</v>
      </c>
      <c r="F57" s="9">
        <v>120.0</v>
      </c>
      <c r="G57" s="9" t="s">
        <v>26</v>
      </c>
      <c r="H57" s="9">
        <v>81.87</v>
      </c>
      <c r="I57" s="9">
        <v>82.05</v>
      </c>
      <c r="J57" s="9">
        <v>82.17</v>
      </c>
      <c r="K57" s="9" t="s">
        <v>320</v>
      </c>
    </row>
    <row r="58" ht="15.75" customHeight="1">
      <c r="B58" s="9">
        <v>20.0</v>
      </c>
      <c r="C58" s="9" t="s">
        <v>158</v>
      </c>
      <c r="D58" s="9">
        <v>4.0</v>
      </c>
      <c r="E58" s="9">
        <v>60.0</v>
      </c>
      <c r="F58" s="9">
        <v>180.0</v>
      </c>
      <c r="G58" s="9" t="s">
        <v>26</v>
      </c>
      <c r="H58" s="9">
        <v>86.66</v>
      </c>
      <c r="I58" s="9">
        <v>86.97</v>
      </c>
      <c r="J58" s="9">
        <v>87.1</v>
      </c>
      <c r="K58" s="9" t="s">
        <v>325</v>
      </c>
    </row>
    <row r="59" ht="15.75" customHeight="1">
      <c r="B59" s="9">
        <v>21.0</v>
      </c>
      <c r="C59" s="9" t="s">
        <v>158</v>
      </c>
      <c r="D59" s="9">
        <v>3.0</v>
      </c>
      <c r="E59" s="9">
        <v>55.0</v>
      </c>
      <c r="F59" s="9">
        <v>120.0</v>
      </c>
      <c r="G59" s="9" t="s">
        <v>26</v>
      </c>
      <c r="H59" s="9">
        <v>76.07</v>
      </c>
      <c r="I59" s="9">
        <v>76.31</v>
      </c>
      <c r="J59" s="9">
        <v>76.46</v>
      </c>
      <c r="K59" s="9" t="s">
        <v>329</v>
      </c>
    </row>
    <row r="60" ht="15.75" customHeight="1">
      <c r="B60" s="9">
        <v>22.0</v>
      </c>
      <c r="C60" s="9" t="s">
        <v>158</v>
      </c>
      <c r="D60" s="9">
        <v>3.0</v>
      </c>
      <c r="E60" s="9">
        <v>55.0</v>
      </c>
      <c r="F60" s="9">
        <v>180.0</v>
      </c>
      <c r="G60" s="9" t="s">
        <v>26</v>
      </c>
      <c r="H60" s="9">
        <v>80.64</v>
      </c>
      <c r="I60" s="9">
        <v>80.82</v>
      </c>
      <c r="J60" s="9">
        <v>80.97</v>
      </c>
      <c r="K60" s="9" t="s">
        <v>332</v>
      </c>
    </row>
    <row r="61" ht="15.75" customHeight="1">
      <c r="B61" s="9">
        <v>23.0</v>
      </c>
      <c r="C61" s="9" t="s">
        <v>158</v>
      </c>
      <c r="D61" s="9">
        <v>3.0</v>
      </c>
      <c r="E61" s="9">
        <v>65.0</v>
      </c>
      <c r="F61" s="9">
        <v>120.0</v>
      </c>
      <c r="G61" s="9" t="s">
        <v>26</v>
      </c>
      <c r="H61" s="9">
        <v>81.92</v>
      </c>
      <c r="I61" s="9">
        <v>82.24</v>
      </c>
      <c r="J61" s="9">
        <v>82.32</v>
      </c>
      <c r="K61" s="9" t="s">
        <v>333</v>
      </c>
    </row>
    <row r="62" ht="15.75" customHeight="1">
      <c r="B62" s="9">
        <v>24.0</v>
      </c>
      <c r="C62" s="9" t="s">
        <v>158</v>
      </c>
      <c r="D62" s="9">
        <v>3.0</v>
      </c>
      <c r="E62" s="9">
        <v>65.0</v>
      </c>
      <c r="F62" s="9">
        <v>180.0</v>
      </c>
      <c r="G62" s="9" t="s">
        <v>26</v>
      </c>
      <c r="H62" s="9">
        <v>87.01</v>
      </c>
      <c r="I62" s="9">
        <v>87.23</v>
      </c>
      <c r="J62" s="9">
        <v>87.33</v>
      </c>
      <c r="K62" s="9" t="s">
        <v>338</v>
      </c>
    </row>
    <row r="63" ht="15.75" customHeight="1">
      <c r="B63" s="9">
        <v>25.0</v>
      </c>
      <c r="C63" s="9" t="s">
        <v>158</v>
      </c>
      <c r="D63" s="9">
        <v>3.0</v>
      </c>
      <c r="E63" s="9">
        <v>60.0</v>
      </c>
      <c r="F63" s="9">
        <v>150.0</v>
      </c>
      <c r="G63" s="9" t="s">
        <v>26</v>
      </c>
      <c r="H63" s="9">
        <v>82.27</v>
      </c>
      <c r="I63" s="9">
        <v>82.42</v>
      </c>
      <c r="J63" s="9">
        <v>82.48</v>
      </c>
      <c r="K63" s="9" t="s">
        <v>346</v>
      </c>
    </row>
    <row r="64" ht="15.75" customHeight="1">
      <c r="B64" s="9">
        <v>26.0</v>
      </c>
      <c r="C64" s="9" t="s">
        <v>158</v>
      </c>
      <c r="D64" s="9">
        <v>3.0</v>
      </c>
      <c r="E64" s="9">
        <v>60.0</v>
      </c>
      <c r="F64" s="9">
        <v>150.0</v>
      </c>
      <c r="G64" s="9" t="s">
        <v>26</v>
      </c>
      <c r="H64" s="9">
        <v>81.75</v>
      </c>
      <c r="I64" s="9">
        <v>82.0</v>
      </c>
      <c r="J64" s="9">
        <v>82.07</v>
      </c>
      <c r="K64" s="9" t="s">
        <v>349</v>
      </c>
    </row>
    <row r="65" ht="15.75" customHeight="1">
      <c r="B65" s="9">
        <v>27.0</v>
      </c>
      <c r="C65" s="9" t="s">
        <v>158</v>
      </c>
      <c r="D65" s="9">
        <v>3.0</v>
      </c>
      <c r="E65" s="9">
        <v>60.0</v>
      </c>
      <c r="F65" s="9">
        <v>150.0</v>
      </c>
      <c r="G65" s="9" t="s">
        <v>26</v>
      </c>
      <c r="H65" s="9">
        <v>82.12</v>
      </c>
      <c r="I65" s="9">
        <v>82.29</v>
      </c>
      <c r="J65" s="9">
        <v>82.4</v>
      </c>
      <c r="K65" s="9" t="s">
        <v>355</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71"/>
    <col customWidth="1" min="2" max="2" width="14.14"/>
    <col customWidth="1" min="3" max="3" width="10.0"/>
    <col customWidth="1" min="4" max="4" width="22.0"/>
    <col customWidth="1" min="5" max="5" width="16.0"/>
    <col customWidth="1" min="6" max="6" width="18.0"/>
    <col customWidth="1" min="7" max="8" width="8.71"/>
    <col customWidth="1" min="9" max="9" width="17.57"/>
    <col customWidth="1" min="10" max="26" width="8.71"/>
  </cols>
  <sheetData>
    <row r="1" ht="15.75" customHeight="1"/>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c r="A25" s="9" t="s">
        <v>105</v>
      </c>
    </row>
    <row r="26" ht="15.75" customHeight="1"/>
    <row r="27" ht="15.75" customHeight="1">
      <c r="A27" s="9" t="s">
        <v>106</v>
      </c>
    </row>
    <row r="28" ht="15.75" customHeight="1">
      <c r="A28" s="9" t="s">
        <v>107</v>
      </c>
    </row>
    <row r="29" ht="15.75" customHeight="1"/>
    <row r="30" ht="15.75" customHeight="1">
      <c r="A30" s="9" t="s">
        <v>109</v>
      </c>
    </row>
    <row r="31" ht="15.75" customHeight="1"/>
    <row r="32" ht="15.75" customHeight="1">
      <c r="A32" s="9" t="s">
        <v>110</v>
      </c>
    </row>
    <row r="33" ht="15.75" customHeight="1"/>
    <row r="34" ht="15.75" customHeight="1">
      <c r="A34" s="9" t="s">
        <v>112</v>
      </c>
    </row>
    <row r="35" ht="15.75" customHeight="1">
      <c r="A35" s="9" t="s">
        <v>113</v>
      </c>
    </row>
    <row r="36" ht="15.75" customHeight="1"/>
    <row r="37" ht="15.75" customHeight="1">
      <c r="A37" s="9" t="s">
        <v>109</v>
      </c>
    </row>
    <row r="38" ht="15.75" customHeight="1"/>
    <row r="39" ht="15.75" customHeight="1">
      <c r="A39" s="9" t="s">
        <v>115</v>
      </c>
    </row>
    <row r="40" ht="15.75" customHeight="1"/>
    <row r="41" ht="15.75" customHeight="1">
      <c r="A41" s="9" t="s">
        <v>116</v>
      </c>
    </row>
    <row r="42" ht="15.75" customHeight="1">
      <c r="A42" s="9" t="s">
        <v>117</v>
      </c>
    </row>
    <row r="43" ht="15.75" customHeight="1"/>
    <row r="44" ht="15.75" customHeight="1">
      <c r="A44" s="9" t="s">
        <v>118</v>
      </c>
    </row>
    <row r="45" ht="15.75" customHeight="1"/>
    <row r="46" ht="15.75" customHeight="1"/>
    <row r="47" ht="15.75" customHeight="1">
      <c r="A47" s="9" t="s">
        <v>120</v>
      </c>
    </row>
    <row r="48" ht="15.75" customHeight="1"/>
    <row r="49" ht="15.75" customHeight="1">
      <c r="A49" s="15" t="s">
        <v>9</v>
      </c>
      <c r="B49" s="15" t="s">
        <v>17</v>
      </c>
      <c r="C49" s="15" t="s">
        <v>20</v>
      </c>
      <c r="D49" s="15" t="s">
        <v>122</v>
      </c>
      <c r="E49" s="15" t="s">
        <v>124</v>
      </c>
      <c r="F49" s="15" t="s">
        <v>125</v>
      </c>
    </row>
    <row r="50" ht="15.75" customHeight="1">
      <c r="A50" s="16" t="s">
        <v>29</v>
      </c>
      <c r="B50" s="16">
        <v>12.4</v>
      </c>
      <c r="C50" s="16">
        <v>28.7</v>
      </c>
      <c r="D50" s="16">
        <v>23.3</v>
      </c>
      <c r="E50" s="16">
        <v>41.2</v>
      </c>
      <c r="F50" s="16">
        <v>1.77</v>
      </c>
    </row>
    <row r="51" ht="15.75" customHeight="1">
      <c r="A51" s="16" t="s">
        <v>28</v>
      </c>
      <c r="B51" s="16">
        <v>34.5</v>
      </c>
      <c r="C51" s="16">
        <v>78.3</v>
      </c>
      <c r="D51" s="16">
        <v>63.7</v>
      </c>
      <c r="E51" s="16">
        <v>125.0</v>
      </c>
      <c r="F51" s="16">
        <v>1.96</v>
      </c>
    </row>
    <row r="52" ht="15.75" customHeight="1">
      <c r="A52" s="16" t="s">
        <v>131</v>
      </c>
      <c r="B52" s="16" t="s">
        <v>132</v>
      </c>
      <c r="C52" s="16" t="s">
        <v>133</v>
      </c>
      <c r="D52" s="16" t="s">
        <v>134</v>
      </c>
      <c r="E52" s="16" t="s">
        <v>135</v>
      </c>
      <c r="F52" s="16" t="s">
        <v>137</v>
      </c>
    </row>
    <row r="53" ht="15.75" customHeight="1">
      <c r="A53" s="16" t="s">
        <v>138</v>
      </c>
      <c r="B53" s="16" t="s">
        <v>70</v>
      </c>
      <c r="C53" s="16" t="s">
        <v>70</v>
      </c>
      <c r="D53" s="16" t="s">
        <v>70</v>
      </c>
      <c r="E53" s="16" t="s">
        <v>70</v>
      </c>
      <c r="F53" s="16" t="s">
        <v>139</v>
      </c>
    </row>
    <row r="54" ht="15.75" customHeight="1">
      <c r="A54" s="17" t="s">
        <v>141</v>
      </c>
    </row>
    <row r="55" ht="15.75" customHeight="1">
      <c r="A55" s="18"/>
    </row>
    <row r="56" ht="15.75" customHeight="1">
      <c r="A56" s="17" t="s">
        <v>144</v>
      </c>
    </row>
    <row r="57" ht="15.75" customHeight="1">
      <c r="A57" s="18"/>
    </row>
    <row r="58" ht="15.75" customHeight="1">
      <c r="A58" s="17" t="s">
        <v>149</v>
      </c>
    </row>
    <row r="59" ht="15.75" customHeight="1">
      <c r="A59" s="18"/>
    </row>
    <row r="60" ht="15.75" customHeight="1">
      <c r="A60" s="17" t="s">
        <v>152</v>
      </c>
    </row>
    <row r="61" ht="15.75" customHeight="1">
      <c r="A61" s="18"/>
    </row>
    <row r="62" ht="15.75" customHeight="1">
      <c r="A62" s="17" t="s">
        <v>154</v>
      </c>
    </row>
    <row r="63" ht="15.75" customHeight="1">
      <c r="A63" s="18"/>
    </row>
    <row r="64" ht="15.75" customHeight="1">
      <c r="A64" s="17" t="s">
        <v>157</v>
      </c>
    </row>
    <row r="65" ht="15.75" customHeight="1">
      <c r="A65" s="18"/>
    </row>
    <row r="66" ht="15.75" customHeight="1">
      <c r="A66" s="17" t="s">
        <v>160</v>
      </c>
    </row>
    <row r="67" ht="15.75" customHeight="1">
      <c r="A67" s="18"/>
    </row>
    <row r="68" ht="15.75" customHeight="1">
      <c r="A68" s="17" t="s">
        <v>161</v>
      </c>
    </row>
    <row r="69" ht="15.75" customHeight="1">
      <c r="A69" s="18"/>
    </row>
    <row r="70" ht="15.75" customHeight="1">
      <c r="A70" s="17" t="s">
        <v>164</v>
      </c>
    </row>
    <row r="71" ht="15.75" customHeight="1">
      <c r="A71" s="18"/>
    </row>
    <row r="72" ht="15.75" customHeight="1">
      <c r="A72" s="17" t="s">
        <v>165</v>
      </c>
    </row>
    <row r="73" ht="15.75" customHeight="1">
      <c r="A73" s="18"/>
    </row>
    <row r="74" ht="15.75" customHeight="1">
      <c r="A74" s="17" t="s">
        <v>166</v>
      </c>
    </row>
    <row r="75" ht="15.75" customHeight="1">
      <c r="A75" s="18"/>
    </row>
    <row r="76" ht="15.75" customHeight="1">
      <c r="A76" s="17" t="s">
        <v>168</v>
      </c>
    </row>
    <row r="77" ht="15.75" customHeight="1">
      <c r="A77" s="18"/>
    </row>
    <row r="78" ht="15.75" customHeight="1">
      <c r="A78" s="17" t="s">
        <v>169</v>
      </c>
    </row>
    <row r="79" ht="15.75" customHeight="1">
      <c r="A79" s="18"/>
    </row>
    <row r="80" ht="15.75" customHeight="1">
      <c r="A80" s="17" t="s">
        <v>170</v>
      </c>
    </row>
    <row r="81" ht="15.75" customHeight="1">
      <c r="A81" s="18"/>
    </row>
    <row r="82" ht="15.75" customHeight="1">
      <c r="A82" s="17" t="s">
        <v>172</v>
      </c>
    </row>
    <row r="83" ht="15.75" customHeight="1">
      <c r="A83" s="18"/>
    </row>
    <row r="84" ht="15.75" customHeight="1">
      <c r="A84" s="17" t="s">
        <v>175</v>
      </c>
    </row>
    <row r="85" ht="15.75" customHeight="1"/>
    <row r="86" ht="15.75" customHeight="1"/>
    <row r="87" ht="15.75" customHeight="1">
      <c r="A87" s="20" t="s">
        <v>178</v>
      </c>
      <c r="B87" s="21"/>
      <c r="C87" s="21"/>
      <c r="D87" s="21"/>
      <c r="E87" s="21"/>
      <c r="F87" s="21"/>
    </row>
    <row r="88" ht="15.75" customHeight="1">
      <c r="A88" s="21"/>
      <c r="B88" s="21"/>
      <c r="C88" s="21"/>
      <c r="D88" s="21"/>
      <c r="E88" s="21"/>
      <c r="F88" s="21"/>
    </row>
    <row r="89" ht="15.75" customHeight="1">
      <c r="A89" s="20"/>
      <c r="B89" s="21"/>
      <c r="C89" s="21"/>
      <c r="D89" s="21"/>
      <c r="E89" s="21"/>
      <c r="F89" s="21"/>
    </row>
    <row r="90" ht="15.75" customHeight="1">
      <c r="A90" s="21"/>
      <c r="B90" s="21"/>
      <c r="C90" s="21"/>
      <c r="D90" s="21"/>
      <c r="E90" s="21"/>
      <c r="F90" s="21"/>
    </row>
    <row r="91" ht="15.75" customHeight="1">
      <c r="A91" s="22" t="s">
        <v>9</v>
      </c>
      <c r="B91" s="22" t="s">
        <v>17</v>
      </c>
      <c r="C91" s="22" t="s">
        <v>20</v>
      </c>
      <c r="D91" s="22" t="s">
        <v>187</v>
      </c>
      <c r="E91" s="22" t="s">
        <v>124</v>
      </c>
      <c r="F91" s="22" t="s">
        <v>125</v>
      </c>
    </row>
    <row r="92" ht="15.75" customHeight="1">
      <c r="A92" s="20" t="s">
        <v>29</v>
      </c>
      <c r="B92" s="20">
        <v>12.4</v>
      </c>
      <c r="C92" s="20">
        <v>28.7</v>
      </c>
      <c r="D92" s="20">
        <v>23.3</v>
      </c>
      <c r="E92" s="20">
        <v>41.2</v>
      </c>
      <c r="F92" s="20">
        <v>1.77</v>
      </c>
    </row>
    <row r="93" ht="15.75" customHeight="1">
      <c r="A93" s="20" t="s">
        <v>28</v>
      </c>
      <c r="B93" s="20">
        <v>34.5</v>
      </c>
      <c r="C93" s="20">
        <v>78.3</v>
      </c>
      <c r="D93" s="20">
        <v>63.7</v>
      </c>
      <c r="E93" s="20">
        <v>125.0</v>
      </c>
      <c r="F93" s="20">
        <v>1.96</v>
      </c>
    </row>
    <row r="94" ht="15.75" customHeight="1">
      <c r="A94" s="20" t="s">
        <v>131</v>
      </c>
      <c r="B94" s="20" t="s">
        <v>132</v>
      </c>
      <c r="C94" s="20" t="s">
        <v>133</v>
      </c>
      <c r="D94" s="20" t="s">
        <v>134</v>
      </c>
      <c r="E94" s="20" t="s">
        <v>135</v>
      </c>
      <c r="F94" s="20" t="s">
        <v>137</v>
      </c>
    </row>
    <row r="95" ht="15.75" customHeight="1">
      <c r="A95" s="21"/>
      <c r="B95" s="21"/>
      <c r="C95" s="21"/>
      <c r="D95" s="21"/>
      <c r="E95" s="21"/>
      <c r="F95" s="21"/>
    </row>
    <row r="96" ht="15.75" customHeight="1">
      <c r="A96" s="23" t="s">
        <v>205</v>
      </c>
    </row>
    <row r="97" ht="55.5" customHeight="1"/>
    <row r="98" ht="15.75" customHeight="1">
      <c r="A98" s="20" t="s">
        <v>220</v>
      </c>
      <c r="B98" s="21"/>
      <c r="C98" s="21"/>
      <c r="D98" s="21"/>
      <c r="E98" s="21"/>
      <c r="F98" s="21"/>
    </row>
    <row r="99" ht="15.75" customHeight="1">
      <c r="A99" s="22" t="s">
        <v>18</v>
      </c>
      <c r="B99" s="22" t="s">
        <v>96</v>
      </c>
      <c r="C99" s="22" t="s">
        <v>223</v>
      </c>
      <c r="D99" s="22" t="s">
        <v>225</v>
      </c>
      <c r="E99" s="22" t="s">
        <v>100</v>
      </c>
      <c r="F99" s="22" t="s">
        <v>145</v>
      </c>
    </row>
    <row r="100" ht="15.75" customHeight="1">
      <c r="A100" s="20" t="s">
        <v>17</v>
      </c>
      <c r="B100" s="20" t="s">
        <v>158</v>
      </c>
      <c r="C100" s="20">
        <v>3.0</v>
      </c>
      <c r="D100" s="20">
        <v>60.0</v>
      </c>
      <c r="E100" s="20">
        <v>150.0</v>
      </c>
      <c r="F100" s="20" t="s">
        <v>132</v>
      </c>
    </row>
    <row r="101" ht="15.75" customHeight="1">
      <c r="A101" s="20" t="s">
        <v>20</v>
      </c>
      <c r="B101" s="20" t="s">
        <v>158</v>
      </c>
      <c r="C101" s="20">
        <v>3.0</v>
      </c>
      <c r="D101" s="20">
        <v>60.0</v>
      </c>
      <c r="E101" s="20">
        <v>150.0</v>
      </c>
      <c r="F101" s="20" t="s">
        <v>133</v>
      </c>
    </row>
    <row r="102" ht="15.75" customHeight="1">
      <c r="A102" s="20" t="s">
        <v>23</v>
      </c>
      <c r="B102" s="20" t="s">
        <v>158</v>
      </c>
      <c r="C102" s="20">
        <v>3.0</v>
      </c>
      <c r="D102" s="20">
        <v>60.0</v>
      </c>
      <c r="E102" s="20">
        <v>150.0</v>
      </c>
      <c r="F102" s="20" t="s">
        <v>234</v>
      </c>
    </row>
    <row r="103" ht="15.75" customHeight="1">
      <c r="A103" s="20" t="s">
        <v>26</v>
      </c>
      <c r="B103" s="20" t="s">
        <v>158</v>
      </c>
      <c r="C103" s="20">
        <v>3.0</v>
      </c>
      <c r="D103" s="20">
        <v>60.0</v>
      </c>
      <c r="E103" s="20">
        <v>150.0</v>
      </c>
      <c r="F103" s="20" t="s">
        <v>135</v>
      </c>
    </row>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sheetData>
  <mergeCells count="1">
    <mergeCell ref="A96:K97"/>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
    <col customWidth="1" min="2" max="4" width="20.0"/>
    <col customWidth="1" min="5" max="5" width="11.0"/>
    <col customWidth="1" min="6" max="6" width="18.0"/>
    <col customWidth="1" min="7" max="7" width="9.0"/>
    <col customWidth="1" min="8" max="26" width="8.71"/>
  </cols>
  <sheetData>
    <row r="1">
      <c r="A1" s="10"/>
      <c r="B1" s="11"/>
      <c r="C1" s="11"/>
      <c r="D1" s="11"/>
      <c r="E1" s="11"/>
      <c r="F1" s="11"/>
      <c r="G1" s="11"/>
    </row>
    <row r="3">
      <c r="A3" s="8"/>
      <c r="B3" s="12"/>
      <c r="C3" s="12"/>
      <c r="D3" s="12"/>
      <c r="E3" s="12"/>
      <c r="F3" s="12"/>
      <c r="G3" s="12"/>
      <c r="I3" s="8"/>
      <c r="J3" s="12"/>
      <c r="K3" s="12"/>
      <c r="L3" s="12"/>
      <c r="M3" s="12"/>
      <c r="N3" s="12"/>
      <c r="O3" s="12"/>
    </row>
    <row r="4">
      <c r="B4" s="13"/>
      <c r="C4" s="13"/>
      <c r="D4" s="13"/>
      <c r="E4" s="13"/>
      <c r="F4" s="13"/>
      <c r="G4" s="13"/>
      <c r="I4" s="14"/>
      <c r="J4" s="13"/>
      <c r="K4" s="13"/>
      <c r="L4" s="13"/>
      <c r="M4" s="13"/>
      <c r="N4" s="13"/>
      <c r="O4" s="13"/>
    </row>
    <row r="5">
      <c r="B5" s="13"/>
      <c r="C5" s="13"/>
      <c r="D5" s="13"/>
      <c r="E5" s="13"/>
      <c r="F5" s="13"/>
      <c r="G5" s="13"/>
      <c r="I5" s="14"/>
      <c r="J5" s="13"/>
      <c r="K5" s="13"/>
      <c r="L5" s="13"/>
      <c r="M5" s="13"/>
      <c r="N5" s="13"/>
      <c r="O5" s="13"/>
    </row>
    <row r="6">
      <c r="B6" s="13"/>
      <c r="C6" s="13"/>
      <c r="D6" s="13"/>
      <c r="E6" s="13"/>
      <c r="F6" s="13"/>
      <c r="G6" s="13"/>
      <c r="I6" s="14"/>
      <c r="J6" s="13"/>
      <c r="K6" s="13"/>
      <c r="L6" s="13"/>
      <c r="M6" s="13"/>
      <c r="N6" s="13"/>
      <c r="O6" s="13"/>
    </row>
    <row r="7">
      <c r="B7" s="13"/>
      <c r="C7" s="13"/>
      <c r="D7" s="13"/>
      <c r="E7" s="13"/>
      <c r="F7" s="13"/>
      <c r="G7" s="13"/>
      <c r="I7" s="14"/>
      <c r="J7" s="13"/>
      <c r="K7" s="13"/>
      <c r="L7" s="13"/>
      <c r="M7" s="13"/>
      <c r="N7" s="13"/>
      <c r="O7" s="13"/>
    </row>
    <row r="11" ht="15.75" customHeight="1">
      <c r="A11" s="5" t="s">
        <v>123</v>
      </c>
      <c r="B11" s="6"/>
      <c r="C11" s="6"/>
      <c r="D11" s="6"/>
    </row>
    <row r="12" ht="15.75" customHeight="1">
      <c r="A12" s="7" t="s">
        <v>18</v>
      </c>
      <c r="B12" s="7" t="s">
        <v>126</v>
      </c>
      <c r="C12" s="7" t="s">
        <v>100</v>
      </c>
      <c r="D12" s="7" t="s">
        <v>127</v>
      </c>
    </row>
    <row r="13" ht="15.75" customHeight="1">
      <c r="A13" s="5" t="s">
        <v>26</v>
      </c>
      <c r="B13" s="5">
        <v>55.0</v>
      </c>
      <c r="C13" s="5">
        <v>0.0</v>
      </c>
      <c r="D13" s="5">
        <v>0.0</v>
      </c>
    </row>
    <row r="14" ht="15.75" customHeight="1">
      <c r="A14" s="5" t="s">
        <v>26</v>
      </c>
      <c r="B14" s="5">
        <v>55.0</v>
      </c>
      <c r="C14" s="5">
        <v>20.0</v>
      </c>
      <c r="D14" s="5">
        <v>0.193</v>
      </c>
    </row>
    <row r="15" ht="15.75" customHeight="1">
      <c r="A15" s="5" t="s">
        <v>26</v>
      </c>
      <c r="B15" s="5">
        <v>55.0</v>
      </c>
      <c r="C15" s="5">
        <v>40.0</v>
      </c>
      <c r="D15" s="5">
        <v>0.349</v>
      </c>
    </row>
    <row r="16" ht="15.75" customHeight="1">
      <c r="A16" s="5" t="s">
        <v>26</v>
      </c>
      <c r="B16" s="5">
        <v>55.0</v>
      </c>
      <c r="C16" s="5">
        <v>60.0</v>
      </c>
      <c r="D16" s="5">
        <v>0.474</v>
      </c>
    </row>
    <row r="17" ht="15.75" customHeight="1">
      <c r="A17" s="5" t="s">
        <v>26</v>
      </c>
      <c r="B17" s="5">
        <v>55.0</v>
      </c>
      <c r="C17" s="5">
        <v>80.0</v>
      </c>
      <c r="D17" s="5">
        <v>0.576</v>
      </c>
    </row>
    <row r="18" ht="15.75" customHeight="1">
      <c r="A18" s="5" t="s">
        <v>26</v>
      </c>
      <c r="B18" s="5">
        <v>55.0</v>
      </c>
      <c r="C18" s="5">
        <v>100.0</v>
      </c>
      <c r="D18" s="5">
        <v>0.658</v>
      </c>
    </row>
    <row r="19" ht="15.75" customHeight="1">
      <c r="A19" s="5" t="s">
        <v>26</v>
      </c>
      <c r="B19" s="5">
        <v>55.0</v>
      </c>
      <c r="C19" s="5">
        <v>120.0</v>
      </c>
      <c r="D19" s="5">
        <v>0.724</v>
      </c>
    </row>
    <row r="20" ht="15.75" customHeight="1">
      <c r="A20" s="5" t="s">
        <v>26</v>
      </c>
      <c r="B20" s="5">
        <v>55.0</v>
      </c>
      <c r="C20" s="5">
        <v>140.0</v>
      </c>
      <c r="D20" s="5">
        <v>0.777</v>
      </c>
    </row>
    <row r="21" ht="15.75" customHeight="1">
      <c r="A21" s="5" t="s">
        <v>26</v>
      </c>
      <c r="B21" s="5">
        <v>55.0</v>
      </c>
      <c r="C21" s="5">
        <v>160.0</v>
      </c>
      <c r="D21" s="5">
        <v>0.82</v>
      </c>
    </row>
    <row r="22" ht="15.75" customHeight="1">
      <c r="A22" s="5" t="s">
        <v>26</v>
      </c>
      <c r="B22" s="5">
        <v>55.0</v>
      </c>
      <c r="C22" s="5">
        <v>180.0</v>
      </c>
      <c r="D22" s="5">
        <v>0.855</v>
      </c>
    </row>
    <row r="23" ht="15.75" customHeight="1">
      <c r="A23" s="5" t="s">
        <v>26</v>
      </c>
      <c r="B23" s="5">
        <v>60.0</v>
      </c>
      <c r="C23" s="5">
        <v>0.0</v>
      </c>
      <c r="D23" s="5">
        <v>0.0</v>
      </c>
    </row>
    <row r="24" ht="15.75" customHeight="1">
      <c r="A24" s="5" t="s">
        <v>26</v>
      </c>
      <c r="B24" s="5">
        <v>60.0</v>
      </c>
      <c r="C24" s="5">
        <v>20.0</v>
      </c>
      <c r="D24" s="5">
        <v>0.244</v>
      </c>
    </row>
    <row r="25" ht="15.75" customHeight="1">
      <c r="A25" s="5" t="s">
        <v>26</v>
      </c>
      <c r="B25" s="5">
        <v>60.0</v>
      </c>
      <c r="C25" s="5">
        <v>40.0</v>
      </c>
      <c r="D25" s="5">
        <v>0.428</v>
      </c>
    </row>
    <row r="26" ht="15.75" customHeight="1">
      <c r="A26" s="5" t="s">
        <v>26</v>
      </c>
      <c r="B26" s="5">
        <v>60.0</v>
      </c>
      <c r="C26" s="5">
        <v>60.0</v>
      </c>
      <c r="D26" s="5">
        <v>0.567</v>
      </c>
    </row>
    <row r="27" ht="15.75" customHeight="1">
      <c r="A27" s="5" t="s">
        <v>26</v>
      </c>
      <c r="B27" s="5">
        <v>60.0</v>
      </c>
      <c r="C27" s="5">
        <v>80.0</v>
      </c>
      <c r="D27" s="5">
        <v>0.673</v>
      </c>
    </row>
    <row r="28" ht="15.75" customHeight="1">
      <c r="A28" s="5" t="s">
        <v>26</v>
      </c>
      <c r="B28" s="5">
        <v>60.0</v>
      </c>
      <c r="C28" s="5">
        <v>100.0</v>
      </c>
      <c r="D28" s="5">
        <v>0.752</v>
      </c>
    </row>
    <row r="29" ht="15.75" customHeight="1">
      <c r="A29" s="5" t="s">
        <v>26</v>
      </c>
      <c r="B29" s="5">
        <v>60.0</v>
      </c>
      <c r="C29" s="5">
        <v>120.0</v>
      </c>
      <c r="D29" s="5">
        <v>0.813</v>
      </c>
    </row>
    <row r="30" ht="15.75" customHeight="1">
      <c r="A30" s="5" t="s">
        <v>26</v>
      </c>
      <c r="B30" s="5">
        <v>60.0</v>
      </c>
      <c r="C30" s="5">
        <v>140.0</v>
      </c>
      <c r="D30" s="5">
        <v>0.858</v>
      </c>
    </row>
    <row r="31" ht="15.75" customHeight="1">
      <c r="A31" s="5" t="s">
        <v>26</v>
      </c>
      <c r="B31" s="5">
        <v>60.0</v>
      </c>
      <c r="C31" s="5">
        <v>160.0</v>
      </c>
      <c r="D31" s="5">
        <v>0.893</v>
      </c>
    </row>
    <row r="32" ht="15.75" customHeight="1">
      <c r="A32" s="5" t="s">
        <v>26</v>
      </c>
      <c r="B32" s="5">
        <v>60.0</v>
      </c>
      <c r="C32" s="5">
        <v>180.0</v>
      </c>
      <c r="D32" s="5">
        <v>0.919</v>
      </c>
    </row>
    <row r="33" ht="15.75" customHeight="1">
      <c r="A33" s="5" t="s">
        <v>26</v>
      </c>
      <c r="B33" s="5">
        <v>65.0</v>
      </c>
      <c r="C33" s="5">
        <v>0.0</v>
      </c>
      <c r="D33" s="5">
        <v>0.0</v>
      </c>
    </row>
    <row r="34" ht="15.75" customHeight="1">
      <c r="A34" s="5" t="s">
        <v>26</v>
      </c>
      <c r="B34" s="5">
        <v>65.0</v>
      </c>
      <c r="C34" s="5">
        <v>20.0</v>
      </c>
      <c r="D34" s="5">
        <v>0.303</v>
      </c>
    </row>
    <row r="35" ht="15.75" customHeight="1">
      <c r="A35" s="5" t="s">
        <v>26</v>
      </c>
      <c r="B35" s="5">
        <v>65.0</v>
      </c>
      <c r="C35" s="5">
        <v>40.0</v>
      </c>
      <c r="D35" s="5">
        <v>0.514</v>
      </c>
    </row>
    <row r="36" ht="15.75" customHeight="1">
      <c r="A36" s="5" t="s">
        <v>26</v>
      </c>
      <c r="B36" s="5">
        <v>65.0</v>
      </c>
      <c r="C36" s="5">
        <v>60.0</v>
      </c>
      <c r="D36" s="5">
        <v>0.661</v>
      </c>
    </row>
    <row r="37" ht="15.75" customHeight="1">
      <c r="A37" s="5" t="s">
        <v>26</v>
      </c>
      <c r="B37" s="5">
        <v>65.0</v>
      </c>
      <c r="C37" s="5">
        <v>80.0</v>
      </c>
      <c r="D37" s="5">
        <v>0.764</v>
      </c>
    </row>
    <row r="38" ht="15.75" customHeight="1">
      <c r="A38" s="5" t="s">
        <v>26</v>
      </c>
      <c r="B38" s="5">
        <v>65.0</v>
      </c>
      <c r="C38" s="5">
        <v>100.0</v>
      </c>
      <c r="D38" s="5">
        <v>0.835</v>
      </c>
    </row>
    <row r="39" ht="15.75" customHeight="1">
      <c r="A39" s="5" t="s">
        <v>26</v>
      </c>
      <c r="B39" s="5">
        <v>65.0</v>
      </c>
      <c r="C39" s="5">
        <v>120.0</v>
      </c>
      <c r="D39" s="5">
        <v>0.885</v>
      </c>
    </row>
    <row r="40" ht="15.75" customHeight="1">
      <c r="A40" s="5" t="s">
        <v>26</v>
      </c>
      <c r="B40" s="5">
        <v>65.0</v>
      </c>
      <c r="C40" s="5">
        <v>140.0</v>
      </c>
      <c r="D40" s="5">
        <v>0.92</v>
      </c>
    </row>
    <row r="41" ht="15.75" customHeight="1">
      <c r="A41" s="5" t="s">
        <v>26</v>
      </c>
      <c r="B41" s="5">
        <v>65.0</v>
      </c>
      <c r="C41" s="5">
        <v>160.0</v>
      </c>
      <c r="D41" s="5">
        <v>0.944</v>
      </c>
    </row>
    <row r="42" ht="15.75" customHeight="1">
      <c r="A42" s="5" t="s">
        <v>26</v>
      </c>
      <c r="B42" s="5">
        <v>65.0</v>
      </c>
      <c r="C42" s="5">
        <v>180.0</v>
      </c>
      <c r="D42" s="5">
        <v>0.961</v>
      </c>
    </row>
    <row r="43" ht="15.75" customHeight="1"/>
    <row r="44" ht="15.75" customHeight="1"/>
    <row r="45" ht="15.75" customHeight="1"/>
    <row r="46" ht="15.75" customHeight="1">
      <c r="A46" s="1" t="s">
        <v>181</v>
      </c>
      <c r="B46" s="2"/>
      <c r="C46" s="2"/>
      <c r="D46" s="2"/>
      <c r="E46" s="2"/>
      <c r="F46" s="2"/>
      <c r="G46" s="2"/>
    </row>
    <row r="47" ht="15.75" customHeight="1">
      <c r="A47" s="3" t="s">
        <v>18</v>
      </c>
      <c r="B47" s="3" t="s">
        <v>182</v>
      </c>
      <c r="C47" s="3" t="s">
        <v>183</v>
      </c>
      <c r="D47" s="3" t="s">
        <v>184</v>
      </c>
      <c r="E47" s="3" t="s">
        <v>186</v>
      </c>
      <c r="F47" s="3" t="s">
        <v>188</v>
      </c>
      <c r="G47" s="3" t="s">
        <v>189</v>
      </c>
    </row>
    <row r="48" ht="15.75" customHeight="1">
      <c r="A48" s="1" t="s">
        <v>17</v>
      </c>
      <c r="B48" s="1" t="s">
        <v>191</v>
      </c>
      <c r="C48" s="1" t="s">
        <v>192</v>
      </c>
      <c r="D48" s="1" t="s">
        <v>193</v>
      </c>
      <c r="E48" s="1">
        <v>0.9975</v>
      </c>
      <c r="F48" s="1">
        <v>48.21</v>
      </c>
      <c r="G48" s="1">
        <v>12.6</v>
      </c>
    </row>
    <row r="49" ht="15.75" customHeight="1">
      <c r="A49" s="1" t="s">
        <v>20</v>
      </c>
      <c r="B49" s="1" t="s">
        <v>194</v>
      </c>
      <c r="C49" s="1" t="s">
        <v>195</v>
      </c>
      <c r="D49" s="1" t="s">
        <v>196</v>
      </c>
      <c r="E49" s="1">
        <v>0.9996</v>
      </c>
      <c r="F49" s="1">
        <v>49.37</v>
      </c>
      <c r="G49" s="1">
        <v>12.889</v>
      </c>
    </row>
    <row r="50" ht="15.75" customHeight="1">
      <c r="A50" s="1" t="s">
        <v>23</v>
      </c>
      <c r="B50" s="1" t="s">
        <v>198</v>
      </c>
      <c r="C50" s="1" t="s">
        <v>199</v>
      </c>
      <c r="D50" s="1" t="s">
        <v>200</v>
      </c>
      <c r="E50" s="1">
        <v>0.9988</v>
      </c>
      <c r="F50" s="1">
        <v>49.05</v>
      </c>
      <c r="G50" s="1">
        <v>13.241</v>
      </c>
    </row>
    <row r="51" ht="15.75" customHeight="1">
      <c r="A51" s="1" t="s">
        <v>26</v>
      </c>
      <c r="B51" s="1" t="s">
        <v>201</v>
      </c>
      <c r="C51" s="1" t="s">
        <v>202</v>
      </c>
      <c r="D51" s="1" t="s">
        <v>203</v>
      </c>
      <c r="E51" s="1">
        <v>1.0</v>
      </c>
      <c r="F51" s="1">
        <v>48.02</v>
      </c>
      <c r="G51" s="1">
        <v>13.064</v>
      </c>
    </row>
    <row r="52" ht="15.75" customHeight="1"/>
    <row r="53" ht="15.75" customHeight="1"/>
    <row r="54" ht="15.75" customHeight="1">
      <c r="A54" s="19"/>
    </row>
    <row r="55" ht="15.75" customHeight="1"/>
    <row r="56" ht="54.0" customHeight="1"/>
    <row r="57" ht="15.75" customHeight="1"/>
    <row r="58" ht="15.75" customHeight="1"/>
    <row r="59" ht="15.75" customHeight="1">
      <c r="A59" s="1" t="s">
        <v>206</v>
      </c>
      <c r="B59" s="2"/>
      <c r="C59" s="2"/>
      <c r="D59" s="2"/>
    </row>
    <row r="60" ht="15.75" customHeight="1">
      <c r="A60" s="1" t="s">
        <v>208</v>
      </c>
      <c r="B60" s="2"/>
      <c r="C60" s="2"/>
      <c r="D60" s="2"/>
    </row>
    <row r="61" ht="15.75" customHeight="1">
      <c r="A61" s="3" t="s">
        <v>209</v>
      </c>
      <c r="B61" s="3" t="s">
        <v>210</v>
      </c>
      <c r="C61" s="3" t="s">
        <v>211</v>
      </c>
      <c r="D61" s="3" t="s">
        <v>212</v>
      </c>
    </row>
    <row r="62" ht="15.75" customHeight="1">
      <c r="A62" s="1" t="s">
        <v>213</v>
      </c>
      <c r="B62" s="1">
        <v>0.9459</v>
      </c>
      <c r="C62" s="1">
        <v>0.999999</v>
      </c>
      <c r="D62" s="1">
        <v>0.9457</v>
      </c>
    </row>
    <row r="63" ht="15.75" customHeight="1">
      <c r="A63" s="1" t="s">
        <v>215</v>
      </c>
      <c r="B63" s="1">
        <v>0.9134</v>
      </c>
      <c r="C63" s="1">
        <v>0.999997</v>
      </c>
      <c r="D63" s="1">
        <v>0.9128</v>
      </c>
    </row>
    <row r="64" ht="15.75" customHeight="1">
      <c r="A64" s="1" t="s">
        <v>216</v>
      </c>
      <c r="B64" s="1">
        <v>0.8668</v>
      </c>
      <c r="C64" s="1">
        <v>0.999999</v>
      </c>
      <c r="D64" s="1">
        <v>0.8672</v>
      </c>
    </row>
    <row r="65" ht="15.75" customHeight="1">
      <c r="A65" s="2"/>
      <c r="B65" s="2"/>
      <c r="C65" s="2"/>
      <c r="D65" s="2"/>
    </row>
    <row r="66" ht="15.75" customHeight="1">
      <c r="A66" s="1" t="s">
        <v>217</v>
      </c>
      <c r="B66" s="2"/>
      <c r="C66" s="2"/>
      <c r="D66" s="2"/>
    </row>
    <row r="67" ht="15.75" customHeight="1">
      <c r="A67" s="2"/>
      <c r="B67" s="2"/>
      <c r="C67" s="2"/>
      <c r="D67" s="2"/>
    </row>
    <row r="68" ht="15.75" customHeight="1">
      <c r="A68" s="1" t="s">
        <v>219</v>
      </c>
      <c r="B68" s="2"/>
      <c r="C68" s="2"/>
      <c r="D68" s="2"/>
    </row>
    <row r="69" ht="15.75" customHeight="1">
      <c r="A69" s="2"/>
      <c r="B69" s="2"/>
      <c r="C69" s="2"/>
      <c r="D69" s="2"/>
    </row>
    <row r="70" ht="15.75" customHeight="1">
      <c r="A70" s="1" t="s">
        <v>222</v>
      </c>
      <c r="B70" s="2"/>
      <c r="C70" s="2"/>
      <c r="D70" s="2"/>
    </row>
    <row r="71" ht="15.75" customHeight="1">
      <c r="A71" s="2"/>
      <c r="B71" s="2"/>
      <c r="C71" s="2"/>
      <c r="D71" s="2"/>
    </row>
    <row r="72" ht="15.75" customHeight="1">
      <c r="A72" s="1" t="s">
        <v>224</v>
      </c>
      <c r="B72" s="2"/>
      <c r="C72" s="2"/>
      <c r="D72" s="2"/>
    </row>
    <row r="73" ht="15.75" customHeight="1">
      <c r="A73" s="2"/>
      <c r="B73" s="2"/>
      <c r="C73" s="2"/>
      <c r="D73" s="2"/>
    </row>
    <row r="74" ht="15.75" customHeight="1">
      <c r="A74" s="3" t="s">
        <v>209</v>
      </c>
      <c r="B74" s="3" t="s">
        <v>226</v>
      </c>
      <c r="C74" s="3" t="s">
        <v>227</v>
      </c>
      <c r="D74" s="2"/>
    </row>
    <row r="75" ht="15.75" customHeight="1">
      <c r="A75" s="1" t="s">
        <v>213</v>
      </c>
      <c r="B75" s="1">
        <v>0.999999</v>
      </c>
      <c r="C75" s="1">
        <v>0.9219</v>
      </c>
      <c r="D75" s="2"/>
    </row>
    <row r="76" ht="15.75" customHeight="1">
      <c r="A76" s="1" t="s">
        <v>215</v>
      </c>
      <c r="B76" s="1">
        <v>0.999998</v>
      </c>
      <c r="C76" s="1">
        <v>0.8959</v>
      </c>
      <c r="D76" s="2"/>
    </row>
    <row r="77" ht="15.75" customHeight="1">
      <c r="A77" s="1" t="s">
        <v>216</v>
      </c>
      <c r="B77" s="1">
        <v>0.999999</v>
      </c>
      <c r="C77" s="1">
        <v>0.868</v>
      </c>
      <c r="D77" s="2"/>
    </row>
    <row r="78" ht="15.75" customHeight="1">
      <c r="A78" s="2"/>
      <c r="B78" s="2"/>
      <c r="C78" s="2"/>
      <c r="D78" s="2"/>
    </row>
    <row r="79" ht="15.75" customHeight="1">
      <c r="A79" s="1" t="s">
        <v>230</v>
      </c>
      <c r="B79" s="2"/>
      <c r="C79" s="2"/>
      <c r="D79" s="2"/>
    </row>
    <row r="80" ht="15.75" customHeight="1"/>
    <row r="81" ht="15.75" customHeight="1"/>
    <row r="82" ht="15.75" customHeight="1">
      <c r="A82" s="24" t="s">
        <v>232</v>
      </c>
      <c r="B82" s="25"/>
    </row>
    <row r="83" ht="15.75" customHeight="1">
      <c r="A83" s="25"/>
      <c r="B83" s="25"/>
    </row>
    <row r="84" ht="15.75" customHeight="1">
      <c r="A84" s="24" t="s">
        <v>235</v>
      </c>
      <c r="B84" s="25"/>
    </row>
    <row r="85" ht="15.75" customHeight="1">
      <c r="A85" s="25"/>
      <c r="B85" s="25"/>
    </row>
    <row r="86" ht="15.75" customHeight="1">
      <c r="A86" s="24" t="s">
        <v>237</v>
      </c>
      <c r="B86" s="25"/>
    </row>
    <row r="87" ht="15.75" customHeight="1">
      <c r="A87" s="25"/>
      <c r="B87" s="25"/>
    </row>
    <row r="88" ht="15.75" customHeight="1">
      <c r="A88" s="24" t="s">
        <v>239</v>
      </c>
      <c r="B88" s="25"/>
    </row>
    <row r="89" ht="15.75" customHeight="1">
      <c r="A89" s="25"/>
      <c r="B89" s="25"/>
    </row>
    <row r="90" ht="15.75" customHeight="1">
      <c r="A90" s="24" t="s">
        <v>241</v>
      </c>
      <c r="B90" s="25"/>
    </row>
    <row r="91" ht="15.75" customHeight="1">
      <c r="A91" s="25"/>
      <c r="B91" s="25"/>
    </row>
    <row r="92" ht="15.75" customHeight="1">
      <c r="A92" s="24" t="s">
        <v>243</v>
      </c>
      <c r="B92" s="25"/>
    </row>
    <row r="93" ht="15.75" customHeight="1">
      <c r="A93" s="26" t="s">
        <v>244</v>
      </c>
      <c r="B93" s="26" t="s">
        <v>188</v>
      </c>
    </row>
    <row r="94" ht="15.75" customHeight="1">
      <c r="A94" s="24" t="s">
        <v>245</v>
      </c>
      <c r="B94" s="24">
        <v>47.875</v>
      </c>
    </row>
    <row r="95" ht="15.75" customHeight="1">
      <c r="A95" s="24" t="s">
        <v>246</v>
      </c>
      <c r="B95" s="24" t="s">
        <v>248</v>
      </c>
    </row>
    <row r="96" ht="15.75" customHeight="1">
      <c r="A96" s="25"/>
      <c r="B96" s="25"/>
    </row>
    <row r="97" ht="15.75" customHeight="1">
      <c r="A97" s="24" t="s">
        <v>252</v>
      </c>
      <c r="B97" s="25"/>
    </row>
    <row r="98" ht="15.75" customHeight="1">
      <c r="A98" s="25"/>
      <c r="B98" s="25"/>
    </row>
    <row r="99" ht="15.75" customHeight="1">
      <c r="A99" s="24" t="s">
        <v>253</v>
      </c>
      <c r="B99" s="25"/>
    </row>
    <row r="100" ht="15.75" customHeight="1">
      <c r="A100" s="25"/>
      <c r="B100" s="25"/>
    </row>
    <row r="101" ht="15.75" customHeight="1">
      <c r="A101" s="24" t="s">
        <v>254</v>
      </c>
      <c r="B101" s="25"/>
    </row>
    <row r="102" ht="15.75" customHeight="1"/>
    <row r="103" ht="15.75" customHeight="1"/>
    <row r="104" ht="15.75" customHeight="1">
      <c r="A104" s="1" t="s">
        <v>181</v>
      </c>
      <c r="B104" s="2"/>
      <c r="C104" s="2"/>
      <c r="D104" s="2"/>
      <c r="E104" s="2"/>
      <c r="F104" s="2"/>
      <c r="G104" s="2"/>
    </row>
    <row r="105" ht="15.75" customHeight="1">
      <c r="A105" s="3" t="s">
        <v>18</v>
      </c>
      <c r="B105" s="3" t="s">
        <v>182</v>
      </c>
      <c r="C105" s="3" t="s">
        <v>183</v>
      </c>
      <c r="D105" s="3" t="s">
        <v>184</v>
      </c>
      <c r="E105" s="3" t="s">
        <v>186</v>
      </c>
      <c r="F105" s="3" t="s">
        <v>188</v>
      </c>
      <c r="G105" s="3" t="s">
        <v>189</v>
      </c>
    </row>
    <row r="106" ht="15.75" customHeight="1">
      <c r="A106" s="1" t="s">
        <v>17</v>
      </c>
      <c r="B106" s="1" t="s">
        <v>191</v>
      </c>
      <c r="C106" s="1" t="s">
        <v>192</v>
      </c>
      <c r="D106" s="1" t="s">
        <v>193</v>
      </c>
      <c r="E106" s="1">
        <v>0.9975</v>
      </c>
      <c r="F106" s="1">
        <v>48.21</v>
      </c>
      <c r="G106" s="1">
        <v>12.6</v>
      </c>
    </row>
    <row r="107" ht="15.75" customHeight="1">
      <c r="A107" s="1" t="s">
        <v>20</v>
      </c>
      <c r="B107" s="1" t="s">
        <v>194</v>
      </c>
      <c r="C107" s="1" t="s">
        <v>195</v>
      </c>
      <c r="D107" s="1" t="s">
        <v>196</v>
      </c>
      <c r="E107" s="1">
        <v>0.9996</v>
      </c>
      <c r="F107" s="1">
        <v>49.37</v>
      </c>
      <c r="G107" s="1">
        <v>12.889</v>
      </c>
    </row>
    <row r="108" ht="15.75" customHeight="1">
      <c r="A108" s="1" t="s">
        <v>23</v>
      </c>
      <c r="B108" s="1" t="s">
        <v>198</v>
      </c>
      <c r="C108" s="1" t="s">
        <v>199</v>
      </c>
      <c r="D108" s="1" t="s">
        <v>200</v>
      </c>
      <c r="E108" s="1">
        <v>0.9988</v>
      </c>
      <c r="F108" s="1">
        <v>49.05</v>
      </c>
      <c r="G108" s="1">
        <v>13.241</v>
      </c>
    </row>
    <row r="109" ht="15.75" customHeight="1">
      <c r="A109" s="1" t="s">
        <v>26</v>
      </c>
      <c r="B109" s="1" t="s">
        <v>201</v>
      </c>
      <c r="C109" s="1" t="s">
        <v>202</v>
      </c>
      <c r="D109" s="1" t="s">
        <v>203</v>
      </c>
      <c r="E109" s="1">
        <v>1.0</v>
      </c>
      <c r="F109" s="1">
        <v>48.02</v>
      </c>
      <c r="G109" s="1">
        <v>13.064</v>
      </c>
    </row>
    <row r="110" ht="15.75" customHeight="1"/>
    <row r="111" ht="15.75" customHeight="1">
      <c r="A111" s="1" t="s">
        <v>260</v>
      </c>
      <c r="B111" s="2"/>
      <c r="C111" s="2"/>
      <c r="D111" s="2"/>
    </row>
    <row r="112" ht="15.75" customHeight="1">
      <c r="A112" s="3" t="s">
        <v>209</v>
      </c>
      <c r="B112" s="3" t="s">
        <v>210</v>
      </c>
      <c r="C112" s="3" t="s">
        <v>211</v>
      </c>
      <c r="D112" s="3" t="s">
        <v>212</v>
      </c>
    </row>
    <row r="113" ht="15.75" customHeight="1">
      <c r="A113" s="1" t="s">
        <v>213</v>
      </c>
      <c r="B113" s="1">
        <v>0.9459</v>
      </c>
      <c r="C113" s="1">
        <v>0.999999</v>
      </c>
      <c r="D113" s="1">
        <v>0.9457</v>
      </c>
    </row>
    <row r="114" ht="15.75" customHeight="1">
      <c r="A114" s="1" t="s">
        <v>215</v>
      </c>
      <c r="B114" s="1">
        <v>0.9134</v>
      </c>
      <c r="C114" s="1">
        <v>0.999997</v>
      </c>
      <c r="D114" s="1">
        <v>0.9128</v>
      </c>
    </row>
    <row r="115" ht="15.75" customHeight="1">
      <c r="A115" s="1" t="s">
        <v>216</v>
      </c>
      <c r="B115" s="1">
        <v>0.8668</v>
      </c>
      <c r="C115" s="1">
        <v>0.999999</v>
      </c>
      <c r="D115" s="1">
        <v>0.8672</v>
      </c>
    </row>
    <row r="116" ht="15.75" customHeight="1"/>
    <row r="117" ht="15.75" customHeight="1">
      <c r="A117" s="19"/>
    </row>
    <row r="118" ht="15.75" customHeight="1"/>
    <row r="119" ht="15.75" customHeight="1"/>
    <row r="120" ht="15.75" customHeight="1"/>
    <row r="121" ht="15.75" customHeight="1"/>
    <row r="122" ht="15.75" customHeight="1"/>
    <row r="123" ht="82.5" customHeight="1"/>
    <row r="124" ht="15.75" customHeight="1"/>
    <row r="125" ht="15.75" customHeight="1"/>
    <row r="126" ht="15.75" customHeight="1"/>
    <row r="127" ht="15.75" customHeight="1"/>
    <row r="128" ht="15.75" customHeight="1">
      <c r="A128" s="28" t="s">
        <v>266</v>
      </c>
      <c r="B128" s="29"/>
      <c r="C128" s="29"/>
      <c r="D128" s="29"/>
      <c r="E128" s="29"/>
      <c r="F128" s="29"/>
      <c r="G128" s="29"/>
    </row>
    <row r="129" ht="15.75" customHeight="1">
      <c r="A129" s="29"/>
      <c r="B129" s="29"/>
      <c r="C129" s="29"/>
      <c r="D129" s="29"/>
      <c r="E129" s="29"/>
      <c r="F129" s="29"/>
      <c r="G129" s="29"/>
    </row>
    <row r="130" ht="15.75" customHeight="1">
      <c r="A130" s="28" t="s">
        <v>273</v>
      </c>
      <c r="B130" s="29"/>
      <c r="C130" s="29"/>
      <c r="D130" s="29"/>
      <c r="E130" s="29"/>
      <c r="F130" s="29"/>
      <c r="G130" s="29"/>
    </row>
    <row r="131" ht="15.75" customHeight="1">
      <c r="A131" s="29"/>
      <c r="B131" s="29"/>
      <c r="C131" s="29"/>
      <c r="D131" s="29"/>
      <c r="E131" s="29"/>
      <c r="F131" s="29"/>
      <c r="G131" s="29"/>
    </row>
    <row r="132" ht="15.75" customHeight="1">
      <c r="A132" s="28" t="s">
        <v>278</v>
      </c>
      <c r="B132" s="29"/>
      <c r="C132" s="29"/>
      <c r="D132" s="29"/>
      <c r="E132" s="29"/>
      <c r="F132" s="29"/>
      <c r="G132" s="29"/>
    </row>
    <row r="133" ht="15.75" customHeight="1">
      <c r="A133" s="29"/>
      <c r="B133" s="29"/>
      <c r="C133" s="29"/>
      <c r="D133" s="29"/>
      <c r="E133" s="29"/>
      <c r="F133" s="29"/>
      <c r="G133" s="29"/>
    </row>
    <row r="134" ht="15.75" customHeight="1">
      <c r="A134" s="28" t="s">
        <v>287</v>
      </c>
      <c r="B134" s="29"/>
      <c r="C134" s="29"/>
      <c r="D134" s="29"/>
      <c r="E134" s="29"/>
      <c r="F134" s="29"/>
      <c r="G134" s="29"/>
    </row>
    <row r="135" ht="15.75" customHeight="1">
      <c r="A135" s="29"/>
      <c r="B135" s="29"/>
      <c r="C135" s="29"/>
      <c r="D135" s="29"/>
      <c r="E135" s="29"/>
      <c r="F135" s="29"/>
      <c r="G135" s="29"/>
    </row>
    <row r="136" ht="15.75" customHeight="1">
      <c r="A136" s="34" t="s">
        <v>18</v>
      </c>
      <c r="B136" s="34" t="s">
        <v>296</v>
      </c>
      <c r="C136" s="34" t="s">
        <v>297</v>
      </c>
      <c r="D136" s="34" t="s">
        <v>298</v>
      </c>
      <c r="E136" s="34" t="s">
        <v>300</v>
      </c>
      <c r="F136" s="34" t="s">
        <v>302</v>
      </c>
      <c r="G136" s="34" t="s">
        <v>189</v>
      </c>
    </row>
    <row r="137" ht="15.75" customHeight="1">
      <c r="A137" s="28" t="s">
        <v>17</v>
      </c>
      <c r="B137" s="28" t="s">
        <v>191</v>
      </c>
      <c r="C137" s="28" t="s">
        <v>192</v>
      </c>
      <c r="D137" s="28" t="s">
        <v>193</v>
      </c>
      <c r="E137" s="28">
        <v>0.9975</v>
      </c>
      <c r="F137" s="28">
        <v>48.21</v>
      </c>
      <c r="G137" s="28">
        <v>12.6</v>
      </c>
    </row>
    <row r="138" ht="15.75" customHeight="1">
      <c r="A138" s="28" t="s">
        <v>20</v>
      </c>
      <c r="B138" s="28" t="s">
        <v>194</v>
      </c>
      <c r="C138" s="28" t="s">
        <v>195</v>
      </c>
      <c r="D138" s="28" t="s">
        <v>196</v>
      </c>
      <c r="E138" s="28">
        <v>0.9996</v>
      </c>
      <c r="F138" s="28">
        <v>49.37</v>
      </c>
      <c r="G138" s="28">
        <v>12.89</v>
      </c>
    </row>
    <row r="139" ht="15.75" customHeight="1">
      <c r="A139" s="28" t="s">
        <v>23</v>
      </c>
      <c r="B139" s="28" t="s">
        <v>198</v>
      </c>
      <c r="C139" s="28" t="s">
        <v>199</v>
      </c>
      <c r="D139" s="28" t="s">
        <v>200</v>
      </c>
      <c r="E139" s="28">
        <v>0.9988</v>
      </c>
      <c r="F139" s="28">
        <v>49.05</v>
      </c>
      <c r="G139" s="28">
        <v>13.24</v>
      </c>
    </row>
    <row r="140" ht="15.75" customHeight="1">
      <c r="A140" s="28" t="s">
        <v>26</v>
      </c>
      <c r="B140" s="28" t="s">
        <v>201</v>
      </c>
      <c r="C140" s="28" t="s">
        <v>202</v>
      </c>
      <c r="D140" s="28" t="s">
        <v>203</v>
      </c>
      <c r="E140" s="28">
        <v>1.0</v>
      </c>
      <c r="F140" s="28">
        <v>48.02</v>
      </c>
      <c r="G140" s="28">
        <v>13.06</v>
      </c>
    </row>
    <row r="141" ht="15.75" customHeight="1">
      <c r="A141" s="29"/>
      <c r="B141" s="29"/>
      <c r="C141" s="29"/>
      <c r="D141" s="29"/>
      <c r="E141" s="29"/>
      <c r="F141" s="29"/>
      <c r="G141" s="29"/>
    </row>
    <row r="142" ht="15.75" customHeight="1">
      <c r="A142" s="28" t="s">
        <v>322</v>
      </c>
      <c r="B142" s="29"/>
      <c r="C142" s="29"/>
      <c r="D142" s="29"/>
      <c r="E142" s="29"/>
      <c r="F142" s="29"/>
      <c r="G142" s="29"/>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3">
    <mergeCell ref="A1:G1"/>
    <mergeCell ref="A54:H56"/>
    <mergeCell ref="A117:G123"/>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16.0"/>
    <col customWidth="1" min="3" max="3" width="8.0"/>
    <col customWidth="1" min="4" max="4" width="30.0"/>
    <col customWidth="1" min="5" max="26" width="8.71"/>
  </cols>
  <sheetData>
    <row r="2" ht="15.75" customHeight="1">
      <c r="A2" s="1" t="s">
        <v>142</v>
      </c>
      <c r="B2" s="2"/>
      <c r="C2" s="2"/>
      <c r="D2" s="2"/>
    </row>
    <row r="3" ht="15.75" customHeight="1">
      <c r="A3" s="3" t="s">
        <v>143</v>
      </c>
      <c r="B3" s="3" t="s">
        <v>145</v>
      </c>
      <c r="C3" s="3" t="s">
        <v>146</v>
      </c>
      <c r="D3" s="3" t="s">
        <v>147</v>
      </c>
    </row>
    <row r="4" ht="15.75" customHeight="1">
      <c r="A4" s="1">
        <v>200.0</v>
      </c>
      <c r="B4" s="1">
        <v>81.4</v>
      </c>
      <c r="C4" s="1">
        <v>1.8</v>
      </c>
      <c r="D4" s="1" t="s">
        <v>150</v>
      </c>
    </row>
    <row r="5" ht="15.75" customHeight="1">
      <c r="A5" s="1">
        <v>400.0</v>
      </c>
      <c r="B5" s="1">
        <v>89.7</v>
      </c>
      <c r="C5" s="1">
        <v>1.2</v>
      </c>
      <c r="D5" s="1" t="s">
        <v>151</v>
      </c>
    </row>
    <row r="6" ht="15.75" customHeight="1">
      <c r="A6" s="1">
        <v>600.0</v>
      </c>
      <c r="B6" s="1">
        <v>94.8</v>
      </c>
      <c r="C6" s="1">
        <v>0.5</v>
      </c>
      <c r="D6" s="1" t="s">
        <v>153</v>
      </c>
    </row>
    <row r="7" ht="15.75" customHeight="1">
      <c r="A7" s="1">
        <v>800.0</v>
      </c>
      <c r="B7" s="1">
        <v>94.6</v>
      </c>
      <c r="C7" s="1">
        <v>0.7</v>
      </c>
      <c r="D7" s="1" t="s">
        <v>156</v>
      </c>
    </row>
    <row r="8" ht="15.75" customHeight="1">
      <c r="A8" s="1">
        <v>1000.0</v>
      </c>
      <c r="B8" s="1">
        <v>94.7</v>
      </c>
      <c r="C8" s="1">
        <v>0.8</v>
      </c>
      <c r="D8" s="1" t="s">
        <v>156</v>
      </c>
    </row>
    <row r="9" ht="15.75" customHeight="1"/>
    <row r="10" ht="15.75" customHeight="1"/>
    <row r="11" ht="15.75" customHeight="1">
      <c r="A11" s="19" t="s">
        <v>159</v>
      </c>
    </row>
    <row r="12" ht="15.75" customHeight="1"/>
    <row r="13" ht="15.75" customHeight="1"/>
    <row r="14" ht="15.75" customHeight="1"/>
    <row r="15" ht="45.0" customHeight="1"/>
    <row r="16" ht="15.75" customHeight="1"/>
    <row r="17" ht="15.75" customHeight="1"/>
    <row r="18" ht="15.75" customHeight="1">
      <c r="A18" s="1" t="s">
        <v>163</v>
      </c>
      <c r="B18" s="2"/>
      <c r="C18" s="2"/>
      <c r="D18" s="2"/>
    </row>
    <row r="19" ht="15.75" customHeight="1">
      <c r="A19" s="3" t="s">
        <v>143</v>
      </c>
      <c r="B19" s="3" t="s">
        <v>102</v>
      </c>
      <c r="C19" s="3" t="s">
        <v>146</v>
      </c>
      <c r="D19" s="3" t="s">
        <v>147</v>
      </c>
    </row>
    <row r="20" ht="15.75" customHeight="1">
      <c r="A20" s="1">
        <v>200.0</v>
      </c>
      <c r="B20" s="1">
        <v>81.4</v>
      </c>
      <c r="C20" s="1">
        <v>1.8</v>
      </c>
      <c r="D20" s="1" t="s">
        <v>150</v>
      </c>
    </row>
    <row r="21" ht="15.75" customHeight="1">
      <c r="A21" s="1">
        <v>400.0</v>
      </c>
      <c r="B21" s="1">
        <v>89.7</v>
      </c>
      <c r="C21" s="1">
        <v>1.2</v>
      </c>
      <c r="D21" s="1" t="s">
        <v>151</v>
      </c>
    </row>
    <row r="22" ht="15.75" customHeight="1">
      <c r="A22" s="1">
        <v>600.0</v>
      </c>
      <c r="B22" s="1">
        <v>94.8</v>
      </c>
      <c r="C22" s="1">
        <v>0.5</v>
      </c>
      <c r="D22" s="1" t="s">
        <v>153</v>
      </c>
    </row>
    <row r="23" ht="15.75" customHeight="1">
      <c r="A23" s="1">
        <v>800.0</v>
      </c>
      <c r="B23" s="1">
        <v>94.6</v>
      </c>
      <c r="C23" s="1">
        <v>0.7</v>
      </c>
      <c r="D23" s="1" t="s">
        <v>156</v>
      </c>
    </row>
    <row r="24" ht="15.75" customHeight="1">
      <c r="A24" s="1">
        <v>1000.0</v>
      </c>
      <c r="B24" s="1">
        <v>94.7</v>
      </c>
      <c r="C24" s="1">
        <v>0.8</v>
      </c>
      <c r="D24" s="1" t="s">
        <v>156</v>
      </c>
    </row>
    <row r="25" ht="15.75" customHeight="1">
      <c r="A25" s="2"/>
      <c r="B25" s="2"/>
      <c r="C25" s="2"/>
      <c r="D25" s="2"/>
    </row>
    <row r="26" ht="15.75" customHeight="1">
      <c r="A26" s="1" t="s">
        <v>173</v>
      </c>
      <c r="B26" s="2"/>
      <c r="C26" s="2"/>
      <c r="D26" s="2"/>
    </row>
    <row r="27" ht="15.75" customHeight="1">
      <c r="A27" s="2"/>
      <c r="B27" s="2"/>
      <c r="C27" s="2"/>
      <c r="D27" s="2"/>
    </row>
    <row r="28" ht="15.75" customHeight="1">
      <c r="A28" s="1" t="s">
        <v>174</v>
      </c>
      <c r="B28" s="2"/>
      <c r="C28" s="2"/>
      <c r="D28" s="2"/>
    </row>
    <row r="29" ht="15.75" customHeight="1">
      <c r="A29" s="2"/>
      <c r="B29" s="2"/>
      <c r="C29" s="2"/>
      <c r="D29" s="2"/>
    </row>
    <row r="30" ht="15.75" customHeight="1">
      <c r="A30" s="1" t="s">
        <v>177</v>
      </c>
      <c r="B30" s="2"/>
      <c r="C30" s="2"/>
      <c r="D30" s="2"/>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mergeCells count="1">
    <mergeCell ref="A11:H15"/>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8.0"/>
    <col customWidth="1" min="3" max="3" width="15.57"/>
    <col customWidth="1" min="4" max="4" width="24.14"/>
    <col customWidth="1" min="5" max="5" width="12.57"/>
    <col customWidth="1" min="6" max="6" width="35.29"/>
    <col customWidth="1" min="7" max="7" width="12.0"/>
    <col customWidth="1" min="8" max="8" width="20.0"/>
    <col customWidth="1" min="9" max="9" width="15.0"/>
    <col customWidth="1" min="10" max="10" width="8.71"/>
    <col customWidth="1" min="11" max="11" width="24.14"/>
    <col customWidth="1" min="12" max="12" width="35.29"/>
    <col customWidth="1" min="13" max="26" width="8.71"/>
  </cols>
  <sheetData>
    <row r="1">
      <c r="A1" s="10" t="s">
        <v>263</v>
      </c>
      <c r="B1" s="11"/>
      <c r="C1" s="11"/>
      <c r="D1" s="11"/>
      <c r="E1" s="11"/>
      <c r="F1" s="11"/>
      <c r="G1" s="11"/>
      <c r="H1" s="11"/>
    </row>
    <row r="2">
      <c r="A2" s="27" t="s">
        <v>18</v>
      </c>
      <c r="B2" s="27" t="s">
        <v>267</v>
      </c>
      <c r="C2" s="27" t="s">
        <v>268</v>
      </c>
      <c r="D2" s="27" t="s">
        <v>269</v>
      </c>
      <c r="E2" s="27" t="s">
        <v>270</v>
      </c>
      <c r="F2" s="27" t="s">
        <v>272</v>
      </c>
      <c r="G2" s="27" t="s">
        <v>274</v>
      </c>
      <c r="H2" s="27" t="s">
        <v>275</v>
      </c>
    </row>
    <row r="3">
      <c r="A3" s="30" t="s">
        <v>17</v>
      </c>
      <c r="B3" s="31" t="s">
        <v>277</v>
      </c>
      <c r="C3" s="31" t="s">
        <v>279</v>
      </c>
      <c r="D3" s="31" t="s">
        <v>281</v>
      </c>
      <c r="E3" s="31" t="s">
        <v>282</v>
      </c>
      <c r="F3" s="31" t="s">
        <v>283</v>
      </c>
      <c r="G3" s="31" t="s">
        <v>284</v>
      </c>
      <c r="H3" s="31" t="s">
        <v>285</v>
      </c>
    </row>
    <row r="4">
      <c r="A4" s="32" t="s">
        <v>20</v>
      </c>
      <c r="B4" s="33" t="s">
        <v>288</v>
      </c>
      <c r="C4" s="33" t="s">
        <v>289</v>
      </c>
      <c r="D4" s="33" t="s">
        <v>290</v>
      </c>
      <c r="E4" s="33" t="s">
        <v>292</v>
      </c>
      <c r="F4" s="33" t="s">
        <v>293</v>
      </c>
      <c r="G4" s="33" t="s">
        <v>294</v>
      </c>
      <c r="H4" s="33" t="s">
        <v>295</v>
      </c>
    </row>
    <row r="5">
      <c r="A5" s="30" t="s">
        <v>23</v>
      </c>
      <c r="B5" s="31" t="s">
        <v>299</v>
      </c>
      <c r="C5" s="31" t="s">
        <v>303</v>
      </c>
      <c r="D5" s="31" t="s">
        <v>304</v>
      </c>
      <c r="E5" s="31" t="s">
        <v>305</v>
      </c>
      <c r="F5" s="31" t="s">
        <v>306</v>
      </c>
      <c r="G5" s="31" t="s">
        <v>308</v>
      </c>
      <c r="H5" s="31" t="s">
        <v>309</v>
      </c>
    </row>
    <row r="6">
      <c r="A6" s="35" t="s">
        <v>26</v>
      </c>
      <c r="B6" s="36" t="s">
        <v>310</v>
      </c>
      <c r="C6" s="36" t="s">
        <v>312</v>
      </c>
      <c r="D6" s="36" t="s">
        <v>313</v>
      </c>
      <c r="E6" s="36" t="s">
        <v>314</v>
      </c>
      <c r="F6" s="36" t="s">
        <v>315</v>
      </c>
      <c r="G6" s="36" t="s">
        <v>317</v>
      </c>
      <c r="H6" s="36" t="s">
        <v>318</v>
      </c>
    </row>
    <row r="9">
      <c r="A9" s="1" t="s">
        <v>319</v>
      </c>
    </row>
    <row r="10">
      <c r="A10" s="3" t="s">
        <v>18</v>
      </c>
      <c r="B10" s="3" t="s">
        <v>321</v>
      </c>
      <c r="C10" s="3" t="s">
        <v>102</v>
      </c>
      <c r="D10" s="3" t="s">
        <v>323</v>
      </c>
      <c r="E10" s="3" t="s">
        <v>274</v>
      </c>
      <c r="F10" s="3" t="s">
        <v>324</v>
      </c>
    </row>
    <row r="11">
      <c r="A11" s="1" t="s">
        <v>26</v>
      </c>
      <c r="B11" s="1">
        <v>1.0</v>
      </c>
      <c r="C11" s="1" t="s">
        <v>326</v>
      </c>
      <c r="D11" s="1" t="s">
        <v>38</v>
      </c>
      <c r="E11" s="1">
        <v>0.0</v>
      </c>
      <c r="F11" s="1">
        <v>0.0</v>
      </c>
    </row>
    <row r="12">
      <c r="A12" s="1" t="s">
        <v>26</v>
      </c>
      <c r="B12" s="1">
        <v>2.0</v>
      </c>
      <c r="C12" s="1" t="s">
        <v>327</v>
      </c>
      <c r="D12" s="1" t="s">
        <v>328</v>
      </c>
      <c r="E12" s="1">
        <v>1.5</v>
      </c>
      <c r="F12" s="1">
        <v>0.7</v>
      </c>
    </row>
    <row r="13">
      <c r="A13" s="1" t="s">
        <v>26</v>
      </c>
      <c r="B13" s="1">
        <v>3.0</v>
      </c>
      <c r="C13" s="1" t="s">
        <v>330</v>
      </c>
      <c r="D13" s="1" t="s">
        <v>331</v>
      </c>
      <c r="E13" s="1">
        <v>2.7</v>
      </c>
      <c r="F13" s="1">
        <v>0.8</v>
      </c>
    </row>
    <row r="14">
      <c r="A14" s="1" t="s">
        <v>26</v>
      </c>
      <c r="B14" s="1">
        <v>4.0</v>
      </c>
      <c r="C14" s="1" t="s">
        <v>334</v>
      </c>
      <c r="D14" s="1" t="s">
        <v>335</v>
      </c>
      <c r="E14" s="1">
        <v>4.1</v>
      </c>
      <c r="F14" s="1">
        <v>0.8</v>
      </c>
    </row>
    <row r="15">
      <c r="A15" s="1" t="s">
        <v>26</v>
      </c>
      <c r="B15" s="1">
        <v>5.0</v>
      </c>
      <c r="C15" s="1" t="s">
        <v>336</v>
      </c>
      <c r="D15" s="1" t="s">
        <v>337</v>
      </c>
      <c r="E15" s="1">
        <v>7.9</v>
      </c>
      <c r="F15" s="1">
        <v>0.8</v>
      </c>
    </row>
    <row r="16">
      <c r="A16" s="1" t="s">
        <v>26</v>
      </c>
      <c r="B16" s="1">
        <v>6.0</v>
      </c>
      <c r="C16" s="1" t="s">
        <v>339</v>
      </c>
      <c r="D16" s="1" t="s">
        <v>340</v>
      </c>
      <c r="E16" s="1" t="s">
        <v>341</v>
      </c>
      <c r="F16" s="1" t="s">
        <v>342</v>
      </c>
    </row>
    <row r="17">
      <c r="A17" s="1" t="s">
        <v>26</v>
      </c>
      <c r="B17" s="1">
        <v>7.0</v>
      </c>
      <c r="C17" s="1" t="s">
        <v>343</v>
      </c>
      <c r="D17" s="1" t="s">
        <v>344</v>
      </c>
      <c r="E17" s="1" t="s">
        <v>345</v>
      </c>
      <c r="F17" s="1" t="s">
        <v>342</v>
      </c>
    </row>
    <row r="18">
      <c r="A18" s="1" t="s">
        <v>26</v>
      </c>
      <c r="B18" s="1">
        <v>8.0</v>
      </c>
      <c r="C18" s="1" t="s">
        <v>347</v>
      </c>
      <c r="D18" s="1" t="s">
        <v>348</v>
      </c>
      <c r="E18" s="1" t="s">
        <v>350</v>
      </c>
      <c r="F18" s="1" t="s">
        <v>351</v>
      </c>
    </row>
    <row r="19">
      <c r="A19" s="1" t="s">
        <v>26</v>
      </c>
      <c r="B19" s="1">
        <v>9.0</v>
      </c>
      <c r="C19" s="1" t="s">
        <v>352</v>
      </c>
      <c r="D19" s="1" t="s">
        <v>353</v>
      </c>
      <c r="E19" s="1" t="s">
        <v>354</v>
      </c>
      <c r="F19" s="1" t="s">
        <v>351</v>
      </c>
    </row>
    <row r="20">
      <c r="A20" s="1" t="s">
        <v>26</v>
      </c>
      <c r="B20" s="1">
        <v>10.0</v>
      </c>
      <c r="C20" s="1" t="s">
        <v>356</v>
      </c>
      <c r="D20" s="1" t="s">
        <v>357</v>
      </c>
      <c r="E20" s="1" t="s">
        <v>358</v>
      </c>
      <c r="F20" s="1" t="s">
        <v>351</v>
      </c>
    </row>
    <row r="21" ht="15.75" customHeight="1"/>
    <row r="22" ht="15.75" customHeight="1"/>
    <row r="23" ht="15.75" customHeight="1">
      <c r="A23" s="37" t="s">
        <v>9</v>
      </c>
      <c r="B23" s="37" t="s">
        <v>359</v>
      </c>
      <c r="C23" s="37" t="s">
        <v>360</v>
      </c>
      <c r="D23" s="37" t="s">
        <v>361</v>
      </c>
    </row>
    <row r="24" ht="15.75" customHeight="1">
      <c r="A24" s="38" t="s">
        <v>29</v>
      </c>
      <c r="B24" s="38" t="s">
        <v>38</v>
      </c>
      <c r="C24" s="38" t="s">
        <v>362</v>
      </c>
      <c r="D24" s="39" t="s">
        <v>363</v>
      </c>
    </row>
    <row r="25" ht="15.75" customHeight="1">
      <c r="A25" s="38" t="s">
        <v>41</v>
      </c>
      <c r="B25" s="38" t="s">
        <v>49</v>
      </c>
      <c r="C25" s="38" t="s">
        <v>364</v>
      </c>
      <c r="D25" s="39" t="s">
        <v>365</v>
      </c>
    </row>
    <row r="26" ht="15.75" customHeight="1">
      <c r="A26" s="38" t="s">
        <v>50</v>
      </c>
      <c r="B26" s="38" t="s">
        <v>57</v>
      </c>
      <c r="C26" s="38" t="s">
        <v>366</v>
      </c>
      <c r="D26" s="40">
        <f>+3.3</f>
        <v>3.3</v>
      </c>
    </row>
    <row r="27" ht="15.75" customHeight="1">
      <c r="A27" s="38" t="s">
        <v>367</v>
      </c>
      <c r="B27" s="38" t="s">
        <v>368</v>
      </c>
      <c r="C27" s="38" t="s">
        <v>369</v>
      </c>
      <c r="D27" s="39" t="s">
        <v>370</v>
      </c>
    </row>
    <row r="28" ht="15.75" customHeight="1">
      <c r="A28" s="38" t="s">
        <v>69</v>
      </c>
      <c r="B28" s="38" t="s">
        <v>371</v>
      </c>
      <c r="C28" s="38" t="s">
        <v>372</v>
      </c>
      <c r="D28" s="39" t="s">
        <v>373</v>
      </c>
    </row>
    <row r="29" ht="15.75" customHeight="1">
      <c r="A29" s="38" t="s">
        <v>75</v>
      </c>
      <c r="B29" s="38" t="s">
        <v>374</v>
      </c>
      <c r="C29" s="38" t="s">
        <v>375</v>
      </c>
      <c r="D29" s="39" t="s">
        <v>376</v>
      </c>
    </row>
    <row r="30" ht="15.75" customHeight="1">
      <c r="A30" s="38" t="s">
        <v>79</v>
      </c>
      <c r="B30" s="38" t="s">
        <v>377</v>
      </c>
      <c r="C30" s="38" t="s">
        <v>378</v>
      </c>
      <c r="D30" s="39" t="s">
        <v>379</v>
      </c>
    </row>
    <row r="31" ht="15.75" customHeight="1">
      <c r="A31" s="38" t="s">
        <v>28</v>
      </c>
      <c r="B31" s="38" t="s">
        <v>64</v>
      </c>
      <c r="C31" s="38" t="s">
        <v>380</v>
      </c>
      <c r="D31" s="39" t="s">
        <v>381</v>
      </c>
    </row>
    <row r="32" ht="15.75" customHeight="1"/>
    <row r="33" ht="15.75" customHeight="1"/>
    <row r="34" ht="15.75" customHeight="1">
      <c r="A34" s="41" t="s">
        <v>382</v>
      </c>
    </row>
    <row r="35" ht="15.75" customHeight="1">
      <c r="A35" s="37" t="s">
        <v>10</v>
      </c>
      <c r="B35" s="37" t="s">
        <v>383</v>
      </c>
      <c r="C35" s="37" t="s">
        <v>384</v>
      </c>
    </row>
    <row r="36" ht="15.75" customHeight="1">
      <c r="A36" s="38" t="s">
        <v>385</v>
      </c>
      <c r="B36" s="38">
        <v>29.8</v>
      </c>
      <c r="C36" s="38">
        <v>30.6</v>
      </c>
    </row>
    <row r="37" ht="15.75" customHeight="1">
      <c r="A37" s="38" t="s">
        <v>386</v>
      </c>
      <c r="B37" s="38">
        <v>7.6</v>
      </c>
      <c r="C37" s="38">
        <v>7.5</v>
      </c>
    </row>
    <row r="38" ht="15.75" customHeight="1">
      <c r="A38" s="38" t="s">
        <v>387</v>
      </c>
      <c r="B38" s="38">
        <v>1.6</v>
      </c>
      <c r="C38" s="38">
        <v>1.6</v>
      </c>
    </row>
    <row r="39" ht="15.75" customHeight="1">
      <c r="A39" s="38" t="s">
        <v>388</v>
      </c>
      <c r="B39" s="38">
        <v>1.4</v>
      </c>
      <c r="C39" s="38">
        <v>1.2</v>
      </c>
    </row>
    <row r="40" ht="15.75" customHeight="1">
      <c r="A40" s="38" t="s">
        <v>389</v>
      </c>
      <c r="B40" s="38">
        <v>9.2</v>
      </c>
      <c r="C40" s="38">
        <v>9.4</v>
      </c>
    </row>
    <row r="41" ht="15.75" customHeight="1">
      <c r="A41" s="38" t="s">
        <v>390</v>
      </c>
      <c r="B41" s="38">
        <v>50.4</v>
      </c>
      <c r="C41" s="38">
        <v>49.7</v>
      </c>
    </row>
    <row r="42" ht="15.75" customHeight="1">
      <c r="A42" s="38" t="s">
        <v>85</v>
      </c>
      <c r="B42" s="38">
        <v>100.0</v>
      </c>
      <c r="C42" s="38">
        <v>100.0</v>
      </c>
    </row>
    <row r="43" ht="15.75" customHeight="1"/>
    <row r="44" ht="15.75" customHeight="1">
      <c r="A44" s="1" t="s">
        <v>319</v>
      </c>
      <c r="F44" s="1"/>
      <c r="G44" s="1"/>
    </row>
    <row r="45" ht="15.75" customHeight="1">
      <c r="A45" s="8" t="s">
        <v>321</v>
      </c>
      <c r="B45" s="8" t="s">
        <v>102</v>
      </c>
      <c r="C45" s="8" t="s">
        <v>391</v>
      </c>
      <c r="D45" s="8" t="s">
        <v>323</v>
      </c>
      <c r="E45" s="8" t="s">
        <v>392</v>
      </c>
    </row>
    <row r="46" ht="15.75" customHeight="1">
      <c r="A46" s="42">
        <v>1.0</v>
      </c>
      <c r="B46" s="9" t="s">
        <v>326</v>
      </c>
      <c r="C46" s="9">
        <v>100.0</v>
      </c>
      <c r="D46" s="9" t="s">
        <v>38</v>
      </c>
      <c r="E46" s="9">
        <v>0.0</v>
      </c>
    </row>
    <row r="47" ht="15.75" customHeight="1">
      <c r="A47" s="42">
        <v>2.0</v>
      </c>
      <c r="B47" s="9" t="s">
        <v>327</v>
      </c>
      <c r="C47" s="9">
        <v>98.5</v>
      </c>
      <c r="D47" s="9" t="s">
        <v>328</v>
      </c>
      <c r="E47" s="9">
        <v>0.7</v>
      </c>
    </row>
    <row r="48" ht="15.75" customHeight="1">
      <c r="A48" s="42">
        <v>3.0</v>
      </c>
      <c r="B48" s="9" t="s">
        <v>330</v>
      </c>
      <c r="C48" s="9">
        <v>96.7</v>
      </c>
      <c r="D48" s="9" t="s">
        <v>331</v>
      </c>
      <c r="E48" s="9">
        <v>0.8</v>
      </c>
    </row>
    <row r="49" ht="15.75" customHeight="1">
      <c r="A49" s="42">
        <v>4.0</v>
      </c>
      <c r="B49" s="9" t="s">
        <v>334</v>
      </c>
      <c r="C49" s="9">
        <v>94.8</v>
      </c>
      <c r="D49" s="9" t="s">
        <v>335</v>
      </c>
      <c r="E49" s="9">
        <v>0.8</v>
      </c>
    </row>
    <row r="50" ht="15.75" customHeight="1">
      <c r="A50" s="42">
        <v>5.0</v>
      </c>
      <c r="B50" s="9" t="s">
        <v>336</v>
      </c>
      <c r="C50" s="9">
        <v>92.1</v>
      </c>
      <c r="D50" s="9" t="s">
        <v>337</v>
      </c>
      <c r="E50" s="9">
        <v>0.8</v>
      </c>
    </row>
    <row r="51" ht="15.75" customHeight="1">
      <c r="A51" s="42">
        <v>6.0</v>
      </c>
      <c r="B51" s="9" t="s">
        <v>393</v>
      </c>
      <c r="C51" s="9">
        <v>90.6</v>
      </c>
      <c r="D51" s="9" t="s">
        <v>394</v>
      </c>
      <c r="E51" s="9">
        <v>0.9</v>
      </c>
    </row>
    <row r="52" ht="15.75" customHeight="1">
      <c r="A52" s="42">
        <v>7.0</v>
      </c>
      <c r="B52" s="9" t="s">
        <v>395</v>
      </c>
      <c r="C52" s="9">
        <v>89.2</v>
      </c>
      <c r="D52" s="9" t="s">
        <v>396</v>
      </c>
      <c r="E52" s="9">
        <v>0.9</v>
      </c>
    </row>
    <row r="53" ht="15.75" customHeight="1">
      <c r="A53" s="42">
        <v>8.0</v>
      </c>
      <c r="B53" s="9" t="s">
        <v>397</v>
      </c>
      <c r="C53" s="9">
        <v>87.7</v>
      </c>
      <c r="D53" s="9" t="s">
        <v>398</v>
      </c>
      <c r="E53" s="9">
        <v>1.0</v>
      </c>
    </row>
    <row r="54" ht="15.75" customHeight="1">
      <c r="A54" s="42">
        <v>9.0</v>
      </c>
      <c r="B54" s="9" t="s">
        <v>399</v>
      </c>
      <c r="C54" s="9">
        <v>86.3</v>
      </c>
      <c r="D54" s="9" t="s">
        <v>400</v>
      </c>
      <c r="E54" s="9">
        <v>1.0</v>
      </c>
    </row>
    <row r="55" ht="15.75" customHeight="1">
      <c r="A55" s="42">
        <v>10.0</v>
      </c>
      <c r="B55" s="9" t="s">
        <v>401</v>
      </c>
      <c r="C55" s="9">
        <v>85.0</v>
      </c>
      <c r="D55" s="9" t="s">
        <v>362</v>
      </c>
      <c r="E55" s="9">
        <v>1.0</v>
      </c>
    </row>
    <row r="56" ht="15.75" customHeight="1"/>
    <row r="57" ht="15.75" customHeight="1">
      <c r="A57" s="19" t="s">
        <v>402</v>
      </c>
    </row>
    <row r="58" ht="15.75" customHeight="1"/>
    <row r="59" ht="15.75" customHeight="1"/>
    <row r="60" ht="15.75" customHeight="1"/>
    <row r="61" ht="15.75" customHeight="1"/>
    <row r="62" ht="15.75" customHeight="1">
      <c r="A62" s="1" t="s">
        <v>403</v>
      </c>
      <c r="B62" s="2"/>
      <c r="C62" s="2"/>
      <c r="D62" s="2"/>
      <c r="E62" s="2"/>
      <c r="F62" s="2"/>
      <c r="H62" s="1"/>
      <c r="I62" s="2"/>
      <c r="J62" s="2"/>
      <c r="K62" s="2"/>
      <c r="L62" s="2"/>
    </row>
    <row r="63" ht="15.75" customHeight="1">
      <c r="A63" s="3" t="s">
        <v>321</v>
      </c>
      <c r="B63" s="3" t="s">
        <v>145</v>
      </c>
      <c r="C63" s="3" t="s">
        <v>404</v>
      </c>
      <c r="D63" s="3" t="s">
        <v>29</v>
      </c>
      <c r="E63" s="3" t="s">
        <v>405</v>
      </c>
      <c r="F63" s="3" t="s">
        <v>406</v>
      </c>
      <c r="H63" s="3"/>
      <c r="I63" s="3"/>
      <c r="J63" s="3"/>
      <c r="K63" s="3"/>
      <c r="L63" s="3"/>
    </row>
    <row r="64" ht="15.75" customHeight="1">
      <c r="A64" s="1">
        <v>1.0</v>
      </c>
      <c r="B64" s="1" t="s">
        <v>326</v>
      </c>
      <c r="C64" s="1">
        <v>100.0</v>
      </c>
      <c r="D64" s="1" t="s">
        <v>38</v>
      </c>
      <c r="E64" s="1">
        <v>0.0</v>
      </c>
      <c r="F64" s="1">
        <v>0.0</v>
      </c>
      <c r="H64" s="1"/>
      <c r="I64" s="1"/>
      <c r="J64" s="1"/>
      <c r="K64" s="1"/>
      <c r="L64" s="1"/>
    </row>
    <row r="65" ht="15.75" customHeight="1">
      <c r="A65" s="1">
        <v>2.0</v>
      </c>
      <c r="B65" s="1" t="s">
        <v>327</v>
      </c>
      <c r="C65" s="1">
        <v>98.5</v>
      </c>
      <c r="D65" s="1" t="s">
        <v>328</v>
      </c>
      <c r="E65" s="1">
        <v>1.5</v>
      </c>
      <c r="F65" s="1">
        <v>0.7</v>
      </c>
      <c r="H65" s="1"/>
      <c r="I65" s="1"/>
      <c r="J65" s="1"/>
      <c r="K65" s="1"/>
      <c r="L65" s="1"/>
    </row>
    <row r="66" ht="15.75" customHeight="1">
      <c r="A66" s="1">
        <v>3.0</v>
      </c>
      <c r="B66" s="1" t="s">
        <v>330</v>
      </c>
      <c r="C66" s="1">
        <v>96.7</v>
      </c>
      <c r="D66" s="1" t="s">
        <v>331</v>
      </c>
      <c r="E66" s="1">
        <v>2.7</v>
      </c>
      <c r="F66" s="1">
        <v>0.8</v>
      </c>
      <c r="H66" s="1"/>
      <c r="I66" s="1"/>
      <c r="J66" s="1"/>
      <c r="K66" s="1"/>
      <c r="L66" s="1"/>
    </row>
    <row r="67" ht="15.75" customHeight="1">
      <c r="A67" s="1">
        <v>4.0</v>
      </c>
      <c r="B67" s="1" t="s">
        <v>334</v>
      </c>
      <c r="C67" s="1">
        <v>94.8</v>
      </c>
      <c r="D67" s="1" t="s">
        <v>335</v>
      </c>
      <c r="E67" s="1">
        <v>4.1</v>
      </c>
      <c r="F67" s="1">
        <v>0.8</v>
      </c>
      <c r="H67" s="1"/>
      <c r="I67" s="1"/>
      <c r="J67" s="1"/>
      <c r="K67" s="1"/>
      <c r="L67" s="1"/>
    </row>
    <row r="68" ht="15.75" customHeight="1">
      <c r="A68" s="1">
        <v>5.0</v>
      </c>
      <c r="B68" s="1" t="s">
        <v>336</v>
      </c>
      <c r="C68" s="1">
        <v>92.1</v>
      </c>
      <c r="D68" s="1" t="s">
        <v>337</v>
      </c>
      <c r="E68" s="1">
        <v>8.0</v>
      </c>
      <c r="F68" s="1">
        <v>0.8</v>
      </c>
      <c r="H68" s="1"/>
      <c r="I68" s="1"/>
      <c r="J68" s="1"/>
      <c r="K68" s="1"/>
      <c r="L68" s="1"/>
    </row>
    <row r="69" ht="15.75" customHeight="1">
      <c r="A69" s="1">
        <v>6.0</v>
      </c>
      <c r="B69" s="1" t="s">
        <v>393</v>
      </c>
      <c r="C69" s="1">
        <v>90.6</v>
      </c>
      <c r="D69" s="1" t="s">
        <v>394</v>
      </c>
      <c r="E69" s="1">
        <v>9.2</v>
      </c>
      <c r="F69" s="1">
        <v>0.9</v>
      </c>
      <c r="H69" s="1"/>
      <c r="I69" s="1"/>
      <c r="J69" s="1"/>
      <c r="K69" s="1"/>
      <c r="L69" s="1"/>
    </row>
    <row r="70" ht="15.75" customHeight="1">
      <c r="A70" s="1">
        <v>7.0</v>
      </c>
      <c r="B70" s="1" t="s">
        <v>395</v>
      </c>
      <c r="C70" s="1">
        <v>89.2</v>
      </c>
      <c r="D70" s="1" t="s">
        <v>396</v>
      </c>
      <c r="E70" s="1">
        <v>10.4</v>
      </c>
      <c r="F70" s="1">
        <v>0.9</v>
      </c>
      <c r="H70" s="1"/>
      <c r="I70" s="1"/>
      <c r="J70" s="1"/>
      <c r="K70" s="1"/>
      <c r="L70" s="1"/>
    </row>
    <row r="71" ht="15.75" customHeight="1">
      <c r="A71" s="1">
        <v>8.0</v>
      </c>
      <c r="B71" s="1" t="s">
        <v>397</v>
      </c>
      <c r="C71" s="1">
        <v>87.7</v>
      </c>
      <c r="D71" s="1" t="s">
        <v>398</v>
      </c>
      <c r="E71" s="1">
        <v>11.9</v>
      </c>
      <c r="F71" s="1">
        <v>1.0</v>
      </c>
      <c r="H71" s="1"/>
      <c r="I71" s="1"/>
      <c r="J71" s="1"/>
      <c r="K71" s="1"/>
      <c r="L71" s="1"/>
    </row>
    <row r="72" ht="15.75" customHeight="1">
      <c r="A72" s="1">
        <v>9.0</v>
      </c>
      <c r="B72" s="1" t="s">
        <v>399</v>
      </c>
      <c r="C72" s="1">
        <v>86.3</v>
      </c>
      <c r="D72" s="1" t="s">
        <v>400</v>
      </c>
      <c r="E72" s="1">
        <v>13.1</v>
      </c>
      <c r="F72" s="1">
        <v>1.0</v>
      </c>
      <c r="H72" s="1"/>
      <c r="I72" s="1"/>
      <c r="J72" s="1"/>
      <c r="K72" s="1"/>
      <c r="L72" s="1"/>
    </row>
    <row r="73" ht="15.75" customHeight="1">
      <c r="A73" s="1">
        <v>10.0</v>
      </c>
      <c r="B73" s="1" t="s">
        <v>401</v>
      </c>
      <c r="C73" s="1">
        <v>85.0</v>
      </c>
      <c r="D73" s="1" t="s">
        <v>362</v>
      </c>
      <c r="E73" s="1">
        <v>14.1</v>
      </c>
      <c r="F73" s="1">
        <v>1.0</v>
      </c>
      <c r="H73" s="1"/>
      <c r="I73" s="1"/>
      <c r="J73" s="1"/>
      <c r="K73" s="1"/>
      <c r="L73" s="1"/>
    </row>
    <row r="74" ht="15.75" customHeight="1"/>
    <row r="75" ht="15.75" customHeight="1"/>
    <row r="76" ht="15.75" customHeight="1">
      <c r="A76" s="19" t="s">
        <v>412</v>
      </c>
    </row>
    <row r="77" ht="15.75" customHeight="1"/>
    <row r="78" ht="15.75" customHeight="1"/>
    <row r="79" ht="15.75" customHeight="1"/>
    <row r="80" ht="15.75" customHeight="1"/>
    <row r="81" ht="15.75" customHeight="1"/>
    <row r="82" ht="15.75" customHeight="1">
      <c r="A82" s="1" t="s">
        <v>418</v>
      </c>
      <c r="B82" s="2"/>
      <c r="C82" s="2"/>
      <c r="D82" s="2"/>
    </row>
    <row r="83" ht="15.75" customHeight="1">
      <c r="A83" s="3" t="s">
        <v>9</v>
      </c>
      <c r="B83" s="3" t="s">
        <v>359</v>
      </c>
      <c r="C83" s="3" t="s">
        <v>360</v>
      </c>
      <c r="D83" s="3" t="s">
        <v>361</v>
      </c>
      <c r="G83" s="1"/>
      <c r="H83" s="2"/>
      <c r="I83" s="2"/>
      <c r="J83" s="2"/>
    </row>
    <row r="84" ht="15.75" customHeight="1">
      <c r="A84" s="1" t="s">
        <v>29</v>
      </c>
      <c r="B84" s="1" t="s">
        <v>38</v>
      </c>
      <c r="C84" s="1" t="s">
        <v>362</v>
      </c>
      <c r="D84" s="1" t="s">
        <v>363</v>
      </c>
      <c r="G84" s="3"/>
      <c r="H84" s="3"/>
      <c r="I84" s="3"/>
      <c r="J84" s="3"/>
    </row>
    <row r="85" ht="15.75" customHeight="1">
      <c r="A85" s="1" t="s">
        <v>41</v>
      </c>
      <c r="B85" s="1" t="s">
        <v>49</v>
      </c>
      <c r="C85" s="1" t="s">
        <v>364</v>
      </c>
      <c r="D85" s="1" t="s">
        <v>365</v>
      </c>
      <c r="G85" s="1"/>
      <c r="H85" s="1"/>
      <c r="I85" s="1"/>
      <c r="J85" s="1"/>
    </row>
    <row r="86" ht="15.75" customHeight="1">
      <c r="A86" s="1" t="s">
        <v>50</v>
      </c>
      <c r="B86" s="1" t="s">
        <v>57</v>
      </c>
      <c r="C86" s="1" t="s">
        <v>366</v>
      </c>
      <c r="D86" s="2">
        <f>+3.3</f>
        <v>3.3</v>
      </c>
      <c r="G86" s="1"/>
      <c r="H86" s="1"/>
      <c r="I86" s="1"/>
      <c r="J86" s="1"/>
    </row>
    <row r="87" ht="15.75" customHeight="1">
      <c r="A87" s="1" t="s">
        <v>367</v>
      </c>
      <c r="B87" s="1" t="s">
        <v>368</v>
      </c>
      <c r="C87" s="1" t="s">
        <v>369</v>
      </c>
      <c r="D87" s="1" t="s">
        <v>370</v>
      </c>
      <c r="G87" s="1"/>
      <c r="H87" s="1"/>
      <c r="I87" s="1"/>
      <c r="J87" s="2"/>
    </row>
    <row r="88" ht="15.75" customHeight="1">
      <c r="A88" s="1" t="s">
        <v>69</v>
      </c>
      <c r="B88" s="1" t="s">
        <v>371</v>
      </c>
      <c r="C88" s="1" t="s">
        <v>372</v>
      </c>
      <c r="D88" s="1" t="s">
        <v>373</v>
      </c>
      <c r="G88" s="1"/>
      <c r="H88" s="1"/>
      <c r="I88" s="1"/>
      <c r="J88" s="1"/>
    </row>
    <row r="89" ht="15.75" customHeight="1">
      <c r="A89" s="1" t="s">
        <v>75</v>
      </c>
      <c r="B89" s="1" t="s">
        <v>374</v>
      </c>
      <c r="C89" s="1" t="s">
        <v>375</v>
      </c>
      <c r="D89" s="1" t="s">
        <v>376</v>
      </c>
      <c r="G89" s="1"/>
      <c r="H89" s="1"/>
      <c r="I89" s="1"/>
      <c r="J89" s="1"/>
    </row>
    <row r="90" ht="15.75" customHeight="1">
      <c r="A90" s="1" t="s">
        <v>79</v>
      </c>
      <c r="B90" s="1" t="s">
        <v>377</v>
      </c>
      <c r="C90" s="1" t="s">
        <v>378</v>
      </c>
      <c r="D90" s="1" t="s">
        <v>379</v>
      </c>
      <c r="G90" s="1"/>
      <c r="H90" s="1"/>
      <c r="I90" s="1"/>
      <c r="J90" s="1"/>
    </row>
    <row r="91" ht="15.75" customHeight="1">
      <c r="A91" s="1" t="s">
        <v>28</v>
      </c>
      <c r="B91" s="1" t="s">
        <v>64</v>
      </c>
      <c r="C91" s="1" t="s">
        <v>380</v>
      </c>
      <c r="D91" s="1" t="s">
        <v>381</v>
      </c>
      <c r="G91" s="1"/>
      <c r="H91" s="1"/>
      <c r="I91" s="1"/>
      <c r="J91" s="1"/>
    </row>
    <row r="92" ht="15.75" customHeight="1">
      <c r="G92" s="1"/>
      <c r="H92" s="1"/>
      <c r="I92" s="1"/>
      <c r="J92" s="1"/>
    </row>
    <row r="93" ht="15.75" customHeight="1">
      <c r="A93" s="1" t="s">
        <v>433</v>
      </c>
      <c r="B93" s="2"/>
      <c r="C93" s="2"/>
      <c r="G93" s="1"/>
      <c r="H93" s="2"/>
      <c r="I93" s="2"/>
    </row>
    <row r="94" ht="15.75" customHeight="1">
      <c r="A94" s="1" t="s">
        <v>436</v>
      </c>
      <c r="B94" s="2"/>
      <c r="C94" s="2"/>
      <c r="G94" s="1"/>
      <c r="H94" s="2"/>
      <c r="I94" s="2"/>
    </row>
    <row r="95" ht="15.75" customHeight="1">
      <c r="A95" s="3" t="s">
        <v>10</v>
      </c>
      <c r="B95" s="3" t="s">
        <v>383</v>
      </c>
      <c r="C95" s="3" t="s">
        <v>437</v>
      </c>
      <c r="G95" s="1"/>
      <c r="H95" s="2"/>
      <c r="I95" s="2"/>
    </row>
    <row r="96" ht="15.75" customHeight="1">
      <c r="A96" s="1" t="s">
        <v>385</v>
      </c>
      <c r="B96" s="1">
        <v>29.8</v>
      </c>
      <c r="C96" s="1">
        <v>30.6</v>
      </c>
      <c r="G96" s="1"/>
      <c r="H96" s="2"/>
      <c r="I96" s="2"/>
      <c r="J96" s="2"/>
    </row>
    <row r="97" ht="15.75" customHeight="1">
      <c r="A97" s="1" t="s">
        <v>386</v>
      </c>
      <c r="B97" s="1">
        <v>7.6</v>
      </c>
      <c r="C97" s="1">
        <v>7.5</v>
      </c>
      <c r="G97" s="3"/>
      <c r="H97" s="3"/>
      <c r="I97" s="3"/>
      <c r="J97" s="2"/>
    </row>
    <row r="98" ht="15.75" customHeight="1">
      <c r="A98" s="1" t="s">
        <v>387</v>
      </c>
      <c r="B98" s="1">
        <v>1.6</v>
      </c>
      <c r="C98" s="1">
        <v>1.6</v>
      </c>
      <c r="G98" s="1"/>
      <c r="H98" s="1"/>
      <c r="I98" s="1"/>
      <c r="J98" s="2"/>
    </row>
    <row r="99" ht="15.75" customHeight="1">
      <c r="A99" s="1" t="s">
        <v>388</v>
      </c>
      <c r="B99" s="1">
        <v>1.4</v>
      </c>
      <c r="C99" s="1">
        <v>1.2</v>
      </c>
      <c r="G99" s="1"/>
      <c r="H99" s="1"/>
      <c r="I99" s="1"/>
      <c r="J99" s="2"/>
    </row>
    <row r="100" ht="15.75" customHeight="1">
      <c r="A100" s="1" t="s">
        <v>389</v>
      </c>
      <c r="B100" s="1">
        <v>9.2</v>
      </c>
      <c r="C100" s="1">
        <v>9.4</v>
      </c>
      <c r="G100" s="1"/>
      <c r="H100" s="1"/>
      <c r="I100" s="1"/>
      <c r="J100" s="2"/>
    </row>
    <row r="101" ht="15.75" customHeight="1">
      <c r="A101" s="1" t="s">
        <v>390</v>
      </c>
      <c r="B101" s="1">
        <v>50.4</v>
      </c>
      <c r="C101" s="1">
        <v>49.7</v>
      </c>
      <c r="G101" s="1"/>
      <c r="H101" s="1"/>
      <c r="I101" s="1"/>
      <c r="J101" s="2"/>
    </row>
    <row r="102" ht="15.75" customHeight="1">
      <c r="A102" s="1" t="s">
        <v>85</v>
      </c>
      <c r="B102" s="1">
        <v>100.0</v>
      </c>
      <c r="C102" s="1">
        <v>100.0</v>
      </c>
      <c r="G102" s="1"/>
      <c r="H102" s="1"/>
      <c r="I102" s="1"/>
      <c r="J102" s="2"/>
    </row>
    <row r="103" ht="15.75" customHeight="1">
      <c r="G103" s="1"/>
      <c r="H103" s="1"/>
      <c r="I103" s="1"/>
      <c r="J103" s="2"/>
    </row>
    <row r="104" ht="15.75" customHeight="1">
      <c r="A104" s="19" t="s">
        <v>444</v>
      </c>
      <c r="G104" s="1"/>
      <c r="H104" s="1"/>
      <c r="I104" s="1"/>
      <c r="J104" s="2"/>
    </row>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
    <mergeCell ref="A1:H1"/>
    <mergeCell ref="A9:G9"/>
    <mergeCell ref="A44:E44"/>
    <mergeCell ref="A57:E57"/>
    <mergeCell ref="A76:F80"/>
    <mergeCell ref="A104:F108"/>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86"/>
    <col customWidth="1" min="2" max="6" width="18.0"/>
    <col customWidth="1" min="7" max="7" width="41.86"/>
    <col customWidth="1" min="8" max="26" width="8.71"/>
  </cols>
  <sheetData>
    <row r="1" ht="15.75" customHeight="1">
      <c r="A1" s="43"/>
    </row>
    <row r="2" ht="15.75" customHeight="1">
      <c r="A2" s="44" t="s">
        <v>407</v>
      </c>
    </row>
    <row r="3" ht="15.75" customHeight="1"/>
    <row r="4" ht="15.75" customHeight="1"/>
    <row r="5" ht="15.75" customHeight="1"/>
    <row r="6" ht="15.75" customHeight="1"/>
    <row r="7" ht="15.75" customHeight="1">
      <c r="A7" s="43"/>
    </row>
    <row r="8" ht="15.75" customHeight="1">
      <c r="A8" s="43"/>
    </row>
    <row r="9" ht="15.75" customHeight="1">
      <c r="A9" s="19" t="s">
        <v>409</v>
      </c>
    </row>
    <row r="10" ht="15.75" customHeight="1">
      <c r="A10" s="49" t="s">
        <v>410</v>
      </c>
    </row>
    <row r="11" ht="15.75" customHeight="1">
      <c r="A11" s="49" t="s">
        <v>421</v>
      </c>
    </row>
    <row r="12" ht="15.75" customHeight="1">
      <c r="A12" s="49" t="s">
        <v>424</v>
      </c>
    </row>
    <row r="13" ht="15.75" customHeight="1">
      <c r="A13" s="49" t="s">
        <v>427</v>
      </c>
    </row>
    <row r="14" ht="15.75" customHeight="1">
      <c r="A14" s="49" t="s">
        <v>431</v>
      </c>
    </row>
    <row r="15" ht="15.75" customHeight="1">
      <c r="A15" s="49" t="s">
        <v>434</v>
      </c>
    </row>
    <row r="16" ht="15.75" customHeight="1">
      <c r="A16" s="49" t="s">
        <v>438</v>
      </c>
    </row>
    <row r="17" ht="15.75" customHeight="1">
      <c r="A17" s="49" t="s">
        <v>441</v>
      </c>
    </row>
    <row r="18" ht="15.75" customHeight="1">
      <c r="A18" s="49" t="s">
        <v>446</v>
      </c>
    </row>
    <row r="19" ht="15.75" customHeight="1">
      <c r="A19" s="49" t="s">
        <v>448</v>
      </c>
    </row>
    <row r="20" ht="15.75" customHeight="1">
      <c r="A20" s="43"/>
    </row>
    <row r="21" ht="15.75" customHeight="1">
      <c r="A21" s="5" t="s">
        <v>451</v>
      </c>
      <c r="B21" s="6"/>
      <c r="C21" s="6"/>
      <c r="D21" s="6"/>
      <c r="E21" s="6"/>
      <c r="F21" s="6"/>
      <c r="G21" s="6"/>
      <c r="H21" s="6"/>
      <c r="I21" s="6"/>
      <c r="J21" s="6"/>
      <c r="K21" s="51"/>
      <c r="L21" s="51"/>
      <c r="M21" s="51"/>
    </row>
    <row r="22" ht="15.75" customHeight="1">
      <c r="A22" s="7" t="s">
        <v>454</v>
      </c>
      <c r="B22" s="7" t="s">
        <v>456</v>
      </c>
      <c r="C22" s="7" t="s">
        <v>223</v>
      </c>
      <c r="D22" s="7" t="s">
        <v>457</v>
      </c>
      <c r="E22" s="7" t="s">
        <v>225</v>
      </c>
      <c r="F22" s="7" t="s">
        <v>460</v>
      </c>
      <c r="G22" s="7" t="s">
        <v>461</v>
      </c>
      <c r="H22" s="7" t="s">
        <v>302</v>
      </c>
      <c r="I22" s="7" t="s">
        <v>463</v>
      </c>
      <c r="J22" s="7" t="s">
        <v>464</v>
      </c>
      <c r="K22" s="51"/>
      <c r="L22" s="51"/>
      <c r="M22" s="51"/>
    </row>
    <row r="23" ht="15.75" customHeight="1">
      <c r="A23" s="5" t="s">
        <v>467</v>
      </c>
      <c r="B23" s="5" t="s">
        <v>468</v>
      </c>
      <c r="C23" s="5">
        <v>4.0</v>
      </c>
      <c r="D23" s="5" t="s">
        <v>469</v>
      </c>
      <c r="E23" s="5">
        <v>65.0</v>
      </c>
      <c r="F23" s="5" t="s">
        <v>470</v>
      </c>
      <c r="G23" s="5" t="s">
        <v>471</v>
      </c>
      <c r="H23" s="5">
        <v>48.02</v>
      </c>
      <c r="I23" s="5" t="s">
        <v>472</v>
      </c>
      <c r="J23" s="5" t="s">
        <v>473</v>
      </c>
      <c r="K23" s="51"/>
      <c r="L23" s="51"/>
      <c r="M23" s="51"/>
    </row>
    <row r="24" ht="15.75" customHeight="1">
      <c r="A24" s="5" t="s">
        <v>474</v>
      </c>
      <c r="B24" s="5" t="s">
        <v>475</v>
      </c>
      <c r="C24" s="5">
        <v>3.0</v>
      </c>
      <c r="D24" s="5" t="s">
        <v>477</v>
      </c>
      <c r="E24" s="5">
        <v>65.0</v>
      </c>
      <c r="F24" s="5" t="s">
        <v>481</v>
      </c>
      <c r="G24" s="5" t="s">
        <v>482</v>
      </c>
      <c r="H24" s="5" t="s">
        <v>484</v>
      </c>
      <c r="I24" s="5" t="s">
        <v>484</v>
      </c>
      <c r="J24" s="5" t="s">
        <v>485</v>
      </c>
      <c r="K24" s="51"/>
      <c r="L24" s="51"/>
      <c r="M24" s="51"/>
    </row>
    <row r="25" ht="15.75" customHeight="1">
      <c r="A25" s="5" t="s">
        <v>486</v>
      </c>
      <c r="B25" s="5" t="s">
        <v>487</v>
      </c>
      <c r="C25" s="5">
        <v>4.0</v>
      </c>
      <c r="D25" s="5" t="s">
        <v>469</v>
      </c>
      <c r="E25" s="5">
        <v>65.0</v>
      </c>
      <c r="F25" s="5" t="s">
        <v>488</v>
      </c>
      <c r="G25" s="5" t="s">
        <v>489</v>
      </c>
      <c r="H25" s="5" t="s">
        <v>484</v>
      </c>
      <c r="I25" s="5" t="s">
        <v>484</v>
      </c>
      <c r="J25" s="5" t="s">
        <v>491</v>
      </c>
      <c r="K25" s="51"/>
      <c r="L25" s="51"/>
      <c r="M25" s="51"/>
    </row>
    <row r="26" ht="15.75" customHeight="1">
      <c r="A26" s="5" t="s">
        <v>492</v>
      </c>
      <c r="B26" s="5" t="s">
        <v>493</v>
      </c>
      <c r="C26" s="5">
        <v>4.97</v>
      </c>
      <c r="D26" s="5" t="s">
        <v>494</v>
      </c>
      <c r="E26" s="5" t="s">
        <v>70</v>
      </c>
      <c r="F26" s="5" t="s">
        <v>495</v>
      </c>
      <c r="G26" s="5" t="s">
        <v>496</v>
      </c>
      <c r="H26" s="5" t="s">
        <v>484</v>
      </c>
      <c r="I26" s="5" t="s">
        <v>497</v>
      </c>
      <c r="J26" s="5" t="s">
        <v>498</v>
      </c>
      <c r="K26" s="51"/>
      <c r="L26" s="51"/>
      <c r="M26" s="51"/>
    </row>
    <row r="27" ht="15.75" customHeight="1">
      <c r="A27" s="5" t="s">
        <v>499</v>
      </c>
      <c r="B27" s="5" t="s">
        <v>500</v>
      </c>
      <c r="C27" s="5" t="s">
        <v>484</v>
      </c>
      <c r="D27" s="5" t="s">
        <v>484</v>
      </c>
      <c r="E27" s="5" t="s">
        <v>484</v>
      </c>
      <c r="F27" s="5" t="s">
        <v>484</v>
      </c>
      <c r="G27" s="5" t="s">
        <v>501</v>
      </c>
      <c r="H27" s="5">
        <v>42.56</v>
      </c>
      <c r="I27" s="5" t="s">
        <v>502</v>
      </c>
      <c r="J27" s="5" t="s">
        <v>503</v>
      </c>
      <c r="K27" s="51"/>
      <c r="L27" s="51"/>
      <c r="M27" s="51"/>
    </row>
    <row r="28" ht="15.75" customHeight="1">
      <c r="A28" s="5" t="s">
        <v>504</v>
      </c>
      <c r="B28" s="5" t="s">
        <v>505</v>
      </c>
      <c r="C28" s="5">
        <v>4.0</v>
      </c>
      <c r="D28" s="5" t="s">
        <v>506</v>
      </c>
      <c r="E28" s="5">
        <v>55.0</v>
      </c>
      <c r="F28" s="5" t="s">
        <v>507</v>
      </c>
      <c r="G28" s="5" t="s">
        <v>508</v>
      </c>
      <c r="H28" s="5">
        <v>31.2</v>
      </c>
      <c r="I28" s="5" t="s">
        <v>509</v>
      </c>
      <c r="J28" s="5" t="s">
        <v>510</v>
      </c>
      <c r="K28" s="51"/>
      <c r="L28" s="51"/>
      <c r="M28" s="51"/>
    </row>
    <row r="29" ht="15.75" customHeight="1">
      <c r="A29" s="5" t="s">
        <v>512</v>
      </c>
      <c r="B29" s="5" t="s">
        <v>493</v>
      </c>
      <c r="C29" s="5">
        <v>6.0</v>
      </c>
      <c r="D29" s="5" t="s">
        <v>513</v>
      </c>
      <c r="E29" s="5">
        <v>65.0</v>
      </c>
      <c r="F29" s="5" t="s">
        <v>515</v>
      </c>
      <c r="G29" s="5" t="s">
        <v>516</v>
      </c>
      <c r="H29" s="5" t="s">
        <v>484</v>
      </c>
      <c r="I29" s="5" t="s">
        <v>484</v>
      </c>
      <c r="J29" s="5" t="s">
        <v>517</v>
      </c>
      <c r="K29" s="51"/>
      <c r="L29" s="51"/>
      <c r="M29" s="51"/>
    </row>
    <row r="30" ht="15.75" customHeight="1">
      <c r="A30" s="5" t="s">
        <v>518</v>
      </c>
      <c r="B30" s="5" t="s">
        <v>519</v>
      </c>
      <c r="C30" s="5">
        <v>2.0</v>
      </c>
      <c r="D30" s="5" t="s">
        <v>521</v>
      </c>
      <c r="E30" s="5">
        <v>80.0</v>
      </c>
      <c r="F30" s="5" t="s">
        <v>466</v>
      </c>
      <c r="G30" s="5" t="s">
        <v>523</v>
      </c>
      <c r="H30" s="5" t="s">
        <v>484</v>
      </c>
      <c r="I30" s="5" t="s">
        <v>525</v>
      </c>
      <c r="J30" s="5" t="s">
        <v>527</v>
      </c>
      <c r="K30" s="51"/>
      <c r="L30" s="51"/>
      <c r="M30" s="51"/>
    </row>
    <row r="31" ht="15.75" customHeight="1">
      <c r="A31" s="5" t="s">
        <v>530</v>
      </c>
      <c r="B31" s="5" t="s">
        <v>532</v>
      </c>
      <c r="C31" s="5">
        <v>5.0</v>
      </c>
      <c r="D31" s="5" t="s">
        <v>469</v>
      </c>
      <c r="E31" s="5">
        <v>60.0</v>
      </c>
      <c r="F31" s="5" t="s">
        <v>488</v>
      </c>
      <c r="G31" s="5" t="s">
        <v>535</v>
      </c>
      <c r="H31" s="5" t="s">
        <v>484</v>
      </c>
      <c r="I31" s="5" t="s">
        <v>537</v>
      </c>
      <c r="J31" s="5" t="s">
        <v>538</v>
      </c>
      <c r="K31" s="51"/>
      <c r="L31" s="51"/>
      <c r="M31" s="51"/>
    </row>
    <row r="32" ht="15.75" customHeight="1">
      <c r="A32" s="5" t="s">
        <v>541</v>
      </c>
      <c r="B32" s="5" t="s">
        <v>493</v>
      </c>
      <c r="C32" s="5">
        <v>5.0</v>
      </c>
      <c r="D32" s="5" t="s">
        <v>543</v>
      </c>
      <c r="E32" s="5">
        <v>60.0</v>
      </c>
      <c r="F32" s="5" t="s">
        <v>545</v>
      </c>
      <c r="G32" s="5" t="s">
        <v>547</v>
      </c>
      <c r="H32" s="5" t="s">
        <v>484</v>
      </c>
      <c r="I32" s="5" t="s">
        <v>549</v>
      </c>
      <c r="J32" s="5" t="s">
        <v>550</v>
      </c>
      <c r="K32" s="51"/>
      <c r="L32" s="51"/>
      <c r="M32" s="51"/>
    </row>
    <row r="33" ht="15.75" customHeight="1">
      <c r="A33" s="43"/>
    </row>
    <row r="34" ht="15.75" customHeight="1">
      <c r="A34" s="43"/>
    </row>
    <row r="35" ht="15.75" customHeight="1">
      <c r="A35" s="19"/>
    </row>
    <row r="36" ht="15.75" customHeight="1"/>
    <row r="37" ht="15.75" customHeight="1"/>
    <row r="38" ht="15.75" customHeight="1"/>
    <row r="39" ht="69.75" customHeight="1"/>
    <row r="40" ht="15.75" customHeight="1">
      <c r="A40" s="43"/>
    </row>
    <row r="41" ht="15.75" customHeight="1">
      <c r="A41" s="43"/>
    </row>
    <row r="42" ht="15.75" customHeight="1">
      <c r="A42" s="43"/>
    </row>
    <row r="43" ht="15.75" customHeight="1">
      <c r="A43" s="43"/>
    </row>
    <row r="44" ht="15.75" customHeight="1">
      <c r="A44" s="43"/>
    </row>
    <row r="45" ht="15.75" customHeight="1">
      <c r="A45" s="43"/>
    </row>
    <row r="46" ht="15.75" customHeight="1">
      <c r="A46" s="43"/>
    </row>
    <row r="47" ht="15.75" customHeight="1">
      <c r="A47" s="43"/>
    </row>
    <row r="48" ht="15.75" customHeight="1">
      <c r="A48" s="43"/>
    </row>
    <row r="49" ht="15.75" customHeight="1">
      <c r="A49" s="43"/>
    </row>
    <row r="50" ht="15.75" customHeight="1">
      <c r="A50" s="43"/>
    </row>
    <row r="51" ht="15.75" customHeight="1">
      <c r="A51" s="43"/>
    </row>
    <row r="52" ht="15.75" customHeight="1">
      <c r="A52" s="43"/>
    </row>
    <row r="53" ht="15.75" customHeight="1">
      <c r="A53" s="43"/>
    </row>
    <row r="54" ht="15.75" customHeight="1">
      <c r="A54" s="43"/>
    </row>
    <row r="55" ht="15.75" customHeight="1">
      <c r="A55" s="43"/>
    </row>
    <row r="56" ht="15.75" customHeight="1">
      <c r="A56" s="43"/>
    </row>
    <row r="57" ht="15.75" customHeight="1">
      <c r="A57" s="43"/>
    </row>
    <row r="58" ht="15.75" customHeight="1">
      <c r="A58" s="43"/>
    </row>
    <row r="59" ht="15.75" customHeight="1">
      <c r="A59" s="43"/>
    </row>
    <row r="60" ht="15.75" customHeight="1">
      <c r="A60" s="43"/>
    </row>
    <row r="61" ht="15.75" customHeight="1">
      <c r="A61" s="43"/>
    </row>
    <row r="62" ht="15.75" customHeight="1">
      <c r="A62" s="43"/>
    </row>
    <row r="63" ht="15.75" customHeight="1">
      <c r="A63" s="43"/>
    </row>
    <row r="64" ht="15.75" customHeight="1">
      <c r="A64" s="43"/>
    </row>
    <row r="65" ht="15.75" customHeight="1">
      <c r="A65" s="43"/>
    </row>
    <row r="66" ht="15.75" customHeight="1">
      <c r="A66" s="43"/>
    </row>
    <row r="67" ht="15.75" customHeight="1">
      <c r="A67" s="43"/>
    </row>
    <row r="68" ht="15.75" customHeight="1">
      <c r="A68" s="43"/>
    </row>
    <row r="69" ht="15.75" customHeight="1">
      <c r="A69" s="43"/>
    </row>
    <row r="70" ht="15.75" customHeight="1">
      <c r="A70" s="43"/>
    </row>
    <row r="71" ht="15.75" customHeight="1">
      <c r="A71" s="43"/>
    </row>
    <row r="72" ht="15.75" customHeight="1">
      <c r="A72" s="43"/>
    </row>
    <row r="73" ht="15.75" customHeight="1">
      <c r="A73" s="43"/>
    </row>
    <row r="74" ht="15.75" customHeight="1">
      <c r="A74" s="43"/>
    </row>
    <row r="75" ht="15.75" customHeight="1">
      <c r="A75" s="43"/>
    </row>
    <row r="76" ht="15.75" customHeight="1">
      <c r="A76" s="43"/>
    </row>
    <row r="77" ht="15.75" customHeight="1">
      <c r="A77" s="43"/>
    </row>
    <row r="78" ht="15.75" customHeight="1">
      <c r="A78" s="43"/>
    </row>
    <row r="79" ht="15.75" customHeight="1">
      <c r="A79" s="43"/>
    </row>
    <row r="80" ht="15.75" customHeight="1">
      <c r="A80" s="43"/>
    </row>
    <row r="81" ht="15.75" customHeight="1">
      <c r="A81" s="43"/>
    </row>
    <row r="82" ht="15.75" customHeight="1">
      <c r="A82" s="43"/>
    </row>
    <row r="83" ht="15.75" customHeight="1">
      <c r="A83" s="43"/>
    </row>
    <row r="84" ht="15.75" customHeight="1">
      <c r="A84" s="43"/>
    </row>
    <row r="85" ht="15.75" customHeight="1">
      <c r="A85" s="43"/>
    </row>
    <row r="86" ht="15.75" customHeight="1">
      <c r="A86" s="43"/>
    </row>
    <row r="87" ht="15.75" customHeight="1">
      <c r="A87" s="43"/>
    </row>
    <row r="88" ht="15.75" customHeight="1">
      <c r="A88" s="43"/>
    </row>
    <row r="89" ht="15.75" customHeight="1">
      <c r="A89" s="43"/>
    </row>
    <row r="90" ht="15.75" customHeight="1">
      <c r="A90" s="43"/>
    </row>
    <row r="91" ht="15.75" customHeight="1">
      <c r="A91" s="43"/>
    </row>
    <row r="92" ht="15.75" customHeight="1">
      <c r="A92" s="43"/>
    </row>
    <row r="93" ht="15.75" customHeight="1">
      <c r="A93" s="43"/>
    </row>
    <row r="94" ht="15.75" customHeight="1">
      <c r="A94" s="43"/>
    </row>
    <row r="95" ht="15.75" customHeight="1">
      <c r="A95" s="43"/>
    </row>
    <row r="96" ht="15.75" customHeight="1">
      <c r="A96" s="43"/>
    </row>
    <row r="97" ht="15.75" customHeight="1">
      <c r="A97" s="43"/>
    </row>
    <row r="98" ht="15.75" customHeight="1">
      <c r="A98" s="43"/>
    </row>
    <row r="99" ht="15.75" customHeight="1">
      <c r="A99" s="43"/>
    </row>
    <row r="100" ht="15.75" customHeight="1">
      <c r="A100" s="43"/>
    </row>
    <row r="101" ht="15.75" customHeight="1">
      <c r="A101" s="43"/>
    </row>
    <row r="102" ht="15.75" customHeight="1">
      <c r="A102" s="43"/>
    </row>
    <row r="103" ht="15.75" customHeight="1">
      <c r="A103" s="43"/>
    </row>
    <row r="104" ht="15.75" customHeight="1">
      <c r="A104" s="43"/>
    </row>
    <row r="105" ht="15.75" customHeight="1">
      <c r="A105" s="43"/>
    </row>
    <row r="106" ht="15.75" customHeight="1">
      <c r="A106" s="43"/>
    </row>
    <row r="107" ht="15.75" customHeight="1">
      <c r="A107" s="43"/>
    </row>
    <row r="108" ht="15.75" customHeight="1">
      <c r="A108" s="43"/>
    </row>
    <row r="109" ht="15.75" customHeight="1">
      <c r="A109" s="43"/>
    </row>
    <row r="110" ht="15.75" customHeight="1">
      <c r="A110" s="43"/>
    </row>
    <row r="111" ht="15.75" customHeight="1">
      <c r="A111" s="43"/>
    </row>
    <row r="112" ht="15.75" customHeight="1">
      <c r="A112" s="43"/>
    </row>
    <row r="113" ht="15.75" customHeight="1">
      <c r="A113" s="43"/>
    </row>
    <row r="114" ht="15.75" customHeight="1">
      <c r="A114" s="43"/>
    </row>
    <row r="115" ht="15.75" customHeight="1">
      <c r="A115" s="43"/>
    </row>
    <row r="116" ht="15.75" customHeight="1">
      <c r="A116" s="43"/>
    </row>
    <row r="117" ht="15.75" customHeight="1">
      <c r="A117" s="43"/>
    </row>
    <row r="118" ht="15.75" customHeight="1">
      <c r="A118" s="43"/>
    </row>
    <row r="119" ht="15.75" customHeight="1">
      <c r="A119" s="43"/>
    </row>
    <row r="120" ht="15.75" customHeight="1">
      <c r="A120" s="43"/>
    </row>
    <row r="121" ht="15.75" customHeight="1">
      <c r="A121" s="43"/>
    </row>
    <row r="122" ht="15.75" customHeight="1">
      <c r="A122" s="43"/>
    </row>
    <row r="123" ht="15.75" customHeight="1">
      <c r="A123" s="43"/>
    </row>
    <row r="124" ht="15.75" customHeight="1">
      <c r="A124" s="43"/>
    </row>
    <row r="125" ht="15.75" customHeight="1">
      <c r="A125" s="43"/>
    </row>
    <row r="126" ht="15.75" customHeight="1">
      <c r="A126" s="43"/>
    </row>
    <row r="127" ht="15.75" customHeight="1">
      <c r="A127" s="43"/>
    </row>
    <row r="128" ht="15.75" customHeight="1">
      <c r="A128" s="43"/>
    </row>
    <row r="129" ht="15.75" customHeight="1">
      <c r="A129" s="43"/>
    </row>
    <row r="130" ht="15.75" customHeight="1">
      <c r="A130" s="43"/>
    </row>
    <row r="131" ht="15.75" customHeight="1">
      <c r="A131" s="43"/>
    </row>
    <row r="132" ht="15.75" customHeight="1">
      <c r="A132" s="43"/>
    </row>
    <row r="133" ht="15.75" customHeight="1">
      <c r="A133" s="43"/>
    </row>
    <row r="134" ht="15.75" customHeight="1">
      <c r="A134" s="43"/>
    </row>
    <row r="135" ht="15.75" customHeight="1">
      <c r="A135" s="43"/>
    </row>
    <row r="136" ht="15.75" customHeight="1">
      <c r="A136" s="43"/>
    </row>
    <row r="137" ht="15.75" customHeight="1">
      <c r="A137" s="43"/>
    </row>
    <row r="138" ht="15.75" customHeight="1">
      <c r="A138" s="43"/>
    </row>
    <row r="139" ht="15.75" customHeight="1">
      <c r="A139" s="43"/>
    </row>
    <row r="140" ht="15.75" customHeight="1">
      <c r="A140" s="43"/>
    </row>
    <row r="141" ht="15.75" customHeight="1">
      <c r="A141" s="43"/>
    </row>
    <row r="142" ht="15.75" customHeight="1">
      <c r="A142" s="43"/>
    </row>
    <row r="143" ht="15.75" customHeight="1">
      <c r="A143" s="43"/>
    </row>
    <row r="144" ht="15.75" customHeight="1">
      <c r="A144" s="43"/>
    </row>
    <row r="145" ht="15.75" customHeight="1">
      <c r="A145" s="43"/>
    </row>
    <row r="146" ht="15.75" customHeight="1">
      <c r="A146" s="43"/>
    </row>
    <row r="147" ht="15.75" customHeight="1">
      <c r="A147" s="43"/>
    </row>
    <row r="148" ht="15.75" customHeight="1">
      <c r="A148" s="43"/>
    </row>
    <row r="149" ht="15.75" customHeight="1">
      <c r="A149" s="43"/>
    </row>
    <row r="150" ht="15.75" customHeight="1">
      <c r="A150" s="43"/>
    </row>
    <row r="151" ht="15.75" customHeight="1">
      <c r="A151" s="43"/>
    </row>
    <row r="152" ht="15.75" customHeight="1">
      <c r="A152" s="43"/>
    </row>
    <row r="153" ht="15.75" customHeight="1">
      <c r="A153" s="43"/>
    </row>
    <row r="154" ht="15.75" customHeight="1">
      <c r="A154" s="43"/>
    </row>
    <row r="155" ht="15.75" customHeight="1">
      <c r="A155" s="43"/>
    </row>
    <row r="156" ht="15.75" customHeight="1">
      <c r="A156" s="43"/>
    </row>
    <row r="157" ht="15.75" customHeight="1">
      <c r="A157" s="43"/>
    </row>
    <row r="158" ht="15.75" customHeight="1">
      <c r="A158" s="43"/>
    </row>
    <row r="159" ht="15.75" customHeight="1">
      <c r="A159" s="43"/>
    </row>
    <row r="160" ht="15.75" customHeight="1">
      <c r="A160" s="43"/>
    </row>
    <row r="161" ht="15.75" customHeight="1">
      <c r="A161" s="43"/>
    </row>
    <row r="162" ht="15.75" customHeight="1">
      <c r="A162" s="43"/>
    </row>
    <row r="163" ht="15.75" customHeight="1">
      <c r="A163" s="43"/>
    </row>
    <row r="164" ht="15.75" customHeight="1">
      <c r="A164" s="43"/>
    </row>
    <row r="165" ht="15.75" customHeight="1">
      <c r="A165" s="43"/>
    </row>
    <row r="166" ht="15.75" customHeight="1">
      <c r="A166" s="43"/>
    </row>
    <row r="167" ht="15.75" customHeight="1">
      <c r="A167" s="43"/>
    </row>
    <row r="168" ht="15.75" customHeight="1">
      <c r="A168" s="43"/>
    </row>
    <row r="169" ht="15.75" customHeight="1">
      <c r="A169" s="43"/>
    </row>
    <row r="170" ht="15.75" customHeight="1">
      <c r="A170" s="43"/>
    </row>
    <row r="171" ht="15.75" customHeight="1">
      <c r="A171" s="43"/>
    </row>
    <row r="172" ht="15.75" customHeight="1">
      <c r="A172" s="43"/>
    </row>
    <row r="173" ht="15.75" customHeight="1">
      <c r="A173" s="43"/>
    </row>
    <row r="174" ht="15.75" customHeight="1">
      <c r="A174" s="43"/>
    </row>
    <row r="175" ht="15.75" customHeight="1">
      <c r="A175" s="43"/>
    </row>
    <row r="176" ht="15.75" customHeight="1">
      <c r="A176" s="43"/>
    </row>
    <row r="177" ht="15.75" customHeight="1">
      <c r="A177" s="43"/>
    </row>
    <row r="178" ht="15.75" customHeight="1">
      <c r="A178" s="43"/>
    </row>
    <row r="179" ht="15.75" customHeight="1">
      <c r="A179" s="43"/>
    </row>
    <row r="180" ht="15.75" customHeight="1">
      <c r="A180" s="43"/>
    </row>
    <row r="181" ht="15.75" customHeight="1">
      <c r="A181" s="43"/>
    </row>
    <row r="182" ht="15.75" customHeight="1">
      <c r="A182" s="43"/>
    </row>
    <row r="183" ht="15.75" customHeight="1">
      <c r="A183" s="43"/>
    </row>
    <row r="184" ht="15.75" customHeight="1">
      <c r="A184" s="43"/>
    </row>
    <row r="185" ht="15.75" customHeight="1">
      <c r="A185" s="43"/>
    </row>
    <row r="186" ht="15.75" customHeight="1">
      <c r="A186" s="43"/>
    </row>
    <row r="187" ht="15.75" customHeight="1">
      <c r="A187" s="43"/>
    </row>
    <row r="188" ht="15.75" customHeight="1">
      <c r="A188" s="43"/>
    </row>
    <row r="189" ht="15.75" customHeight="1">
      <c r="A189" s="43"/>
    </row>
    <row r="190" ht="15.75" customHeight="1">
      <c r="A190" s="43"/>
    </row>
    <row r="191" ht="15.75" customHeight="1">
      <c r="A191" s="43"/>
    </row>
    <row r="192" ht="15.75" customHeight="1">
      <c r="A192" s="43"/>
    </row>
    <row r="193" ht="15.75" customHeight="1">
      <c r="A193" s="43"/>
    </row>
    <row r="194" ht="15.75" customHeight="1">
      <c r="A194" s="43"/>
    </row>
    <row r="195" ht="15.75" customHeight="1">
      <c r="A195" s="43"/>
    </row>
    <row r="196" ht="15.75" customHeight="1">
      <c r="A196" s="43"/>
    </row>
    <row r="197" ht="15.75" customHeight="1">
      <c r="A197" s="43"/>
    </row>
    <row r="198" ht="15.75" customHeight="1">
      <c r="A198" s="43"/>
    </row>
    <row r="199" ht="15.75" customHeight="1">
      <c r="A199" s="43"/>
    </row>
    <row r="200" ht="15.75" customHeight="1">
      <c r="A200" s="43"/>
    </row>
    <row r="201" ht="15.75" customHeight="1">
      <c r="A201" s="43"/>
    </row>
    <row r="202" ht="15.75" customHeight="1">
      <c r="A202" s="43"/>
    </row>
    <row r="203" ht="15.75" customHeight="1">
      <c r="A203" s="43"/>
    </row>
    <row r="204" ht="15.75" customHeight="1">
      <c r="A204" s="43"/>
    </row>
    <row r="205" ht="15.75" customHeight="1">
      <c r="A205" s="43"/>
    </row>
    <row r="206" ht="15.75" customHeight="1">
      <c r="A206" s="43"/>
    </row>
    <row r="207" ht="15.75" customHeight="1">
      <c r="A207" s="43"/>
    </row>
    <row r="208" ht="15.75" customHeight="1">
      <c r="A208" s="43"/>
    </row>
    <row r="209" ht="15.75" customHeight="1">
      <c r="A209" s="43"/>
    </row>
    <row r="210" ht="15.75" customHeight="1">
      <c r="A210" s="43"/>
    </row>
    <row r="211" ht="15.75" customHeight="1">
      <c r="A211" s="43"/>
    </row>
    <row r="212" ht="15.75" customHeight="1">
      <c r="A212" s="43"/>
    </row>
    <row r="213" ht="15.75" customHeight="1">
      <c r="A213" s="43"/>
    </row>
    <row r="214" ht="15.75" customHeight="1">
      <c r="A214" s="43"/>
    </row>
    <row r="215" ht="15.75" customHeight="1">
      <c r="A215" s="43"/>
    </row>
    <row r="216" ht="15.75" customHeight="1">
      <c r="A216" s="43"/>
    </row>
    <row r="217" ht="15.75" customHeight="1">
      <c r="A217" s="43"/>
    </row>
    <row r="218" ht="15.75" customHeight="1">
      <c r="A218" s="43"/>
    </row>
    <row r="219" ht="15.75" customHeight="1">
      <c r="A219" s="43"/>
    </row>
    <row r="220" ht="15.75" customHeight="1">
      <c r="A220" s="43"/>
    </row>
    <row r="221" ht="15.75" customHeight="1">
      <c r="A221" s="43"/>
    </row>
    <row r="222" ht="15.75" customHeight="1">
      <c r="A222" s="43"/>
    </row>
    <row r="223" ht="15.75" customHeight="1">
      <c r="A223" s="43"/>
    </row>
    <row r="224" ht="15.75" customHeight="1">
      <c r="A224" s="43"/>
    </row>
    <row r="225" ht="15.75" customHeight="1">
      <c r="A225" s="43"/>
    </row>
    <row r="226" ht="15.75" customHeight="1">
      <c r="A226" s="43"/>
    </row>
    <row r="227" ht="15.75" customHeight="1">
      <c r="A227" s="43"/>
    </row>
    <row r="228" ht="15.75" customHeight="1">
      <c r="A228" s="43"/>
    </row>
    <row r="229" ht="15.75" customHeight="1">
      <c r="A229" s="43"/>
    </row>
    <row r="230" ht="15.75" customHeight="1">
      <c r="A230" s="43"/>
    </row>
    <row r="231" ht="15.75" customHeight="1">
      <c r="A231" s="43"/>
    </row>
    <row r="232" ht="15.75" customHeight="1">
      <c r="A232" s="43"/>
    </row>
    <row r="233" ht="15.75" customHeight="1">
      <c r="A233" s="43"/>
    </row>
    <row r="234" ht="15.75" customHeight="1">
      <c r="A234" s="43"/>
    </row>
    <row r="235" ht="15.75" customHeight="1">
      <c r="A235" s="43"/>
    </row>
    <row r="236" ht="15.75" customHeight="1">
      <c r="A236" s="43"/>
    </row>
    <row r="237" ht="15.75" customHeight="1">
      <c r="A237" s="43"/>
    </row>
    <row r="238" ht="15.75" customHeight="1">
      <c r="A238" s="43"/>
    </row>
    <row r="239" ht="15.75" customHeight="1">
      <c r="A239" s="43"/>
    </row>
    <row r="240" ht="15.75" customHeight="1">
      <c r="A240" s="43"/>
    </row>
    <row r="241" ht="15.75" customHeight="1">
      <c r="A241" s="43"/>
    </row>
    <row r="242" ht="15.75" customHeight="1">
      <c r="A242" s="43"/>
    </row>
    <row r="243" ht="15.75" customHeight="1">
      <c r="A243" s="43"/>
    </row>
    <row r="244" ht="15.75" customHeight="1">
      <c r="A244" s="43"/>
    </row>
    <row r="245" ht="15.75" customHeight="1">
      <c r="A245" s="43"/>
    </row>
    <row r="246" ht="15.75" customHeight="1">
      <c r="A246" s="43"/>
    </row>
    <row r="247" ht="15.75" customHeight="1">
      <c r="A247" s="43"/>
    </row>
    <row r="248" ht="15.75" customHeight="1">
      <c r="A248" s="43"/>
    </row>
    <row r="249" ht="15.75" customHeight="1">
      <c r="A249" s="43"/>
    </row>
    <row r="250" ht="15.75" customHeight="1">
      <c r="A250" s="43"/>
    </row>
    <row r="251" ht="15.75" customHeight="1">
      <c r="A251" s="43"/>
    </row>
    <row r="252" ht="15.75" customHeight="1">
      <c r="A252" s="43"/>
    </row>
    <row r="253" ht="15.75" customHeight="1">
      <c r="A253" s="43"/>
    </row>
    <row r="254" ht="15.75" customHeight="1">
      <c r="A254" s="43"/>
    </row>
    <row r="255" ht="15.75" customHeight="1">
      <c r="A255" s="43"/>
    </row>
    <row r="256" ht="15.75" customHeight="1">
      <c r="A256" s="43"/>
    </row>
    <row r="257" ht="15.75" customHeight="1">
      <c r="A257" s="43"/>
    </row>
    <row r="258" ht="15.75" customHeight="1">
      <c r="A258" s="43"/>
    </row>
    <row r="259" ht="15.75" customHeight="1">
      <c r="A259" s="43"/>
    </row>
    <row r="260" ht="15.75" customHeight="1">
      <c r="A260" s="43"/>
    </row>
    <row r="261" ht="15.75" customHeight="1">
      <c r="A261" s="43"/>
    </row>
    <row r="262" ht="15.75" customHeight="1">
      <c r="A262" s="43"/>
    </row>
    <row r="263" ht="15.75" customHeight="1">
      <c r="A263" s="43"/>
    </row>
    <row r="264" ht="15.75" customHeight="1">
      <c r="A264" s="43"/>
    </row>
    <row r="265" ht="15.75" customHeight="1">
      <c r="A265" s="43"/>
    </row>
    <row r="266" ht="15.75" customHeight="1">
      <c r="A266" s="43"/>
    </row>
    <row r="267" ht="15.75" customHeight="1">
      <c r="A267" s="43"/>
    </row>
    <row r="268" ht="15.75" customHeight="1">
      <c r="A268" s="43"/>
    </row>
    <row r="269" ht="15.75" customHeight="1">
      <c r="A269" s="43"/>
    </row>
    <row r="270" ht="15.75" customHeight="1">
      <c r="A270" s="43"/>
    </row>
    <row r="271" ht="15.75" customHeight="1">
      <c r="A271" s="43"/>
    </row>
    <row r="272" ht="15.75" customHeight="1">
      <c r="A272" s="43"/>
    </row>
    <row r="273" ht="15.75" customHeight="1">
      <c r="A273" s="43"/>
    </row>
    <row r="274" ht="15.75" customHeight="1">
      <c r="A274" s="43"/>
    </row>
    <row r="275" ht="15.75" customHeight="1">
      <c r="A275" s="43"/>
    </row>
    <row r="276" ht="15.75" customHeight="1">
      <c r="A276" s="43"/>
    </row>
    <row r="277" ht="15.75" customHeight="1">
      <c r="A277" s="43"/>
    </row>
    <row r="278" ht="15.75" customHeight="1">
      <c r="A278" s="43"/>
    </row>
    <row r="279" ht="15.75" customHeight="1">
      <c r="A279" s="43"/>
    </row>
    <row r="280" ht="15.75" customHeight="1">
      <c r="A280" s="43"/>
    </row>
    <row r="281" ht="15.75" customHeight="1">
      <c r="A281" s="43"/>
    </row>
    <row r="282" ht="15.75" customHeight="1">
      <c r="A282" s="43"/>
    </row>
    <row r="283" ht="15.75" customHeight="1">
      <c r="A283" s="43"/>
    </row>
    <row r="284" ht="15.75" customHeight="1">
      <c r="A284" s="43"/>
    </row>
    <row r="285" ht="15.75" customHeight="1">
      <c r="A285" s="43"/>
    </row>
    <row r="286" ht="15.75" customHeight="1">
      <c r="A286" s="43"/>
    </row>
    <row r="287" ht="15.75" customHeight="1">
      <c r="A287" s="43"/>
    </row>
    <row r="288" ht="15.75" customHeight="1">
      <c r="A288" s="43"/>
    </row>
    <row r="289" ht="15.75" customHeight="1">
      <c r="A289" s="43"/>
    </row>
    <row r="290" ht="15.75" customHeight="1">
      <c r="A290" s="43"/>
    </row>
    <row r="291" ht="15.75" customHeight="1">
      <c r="A291" s="43"/>
    </row>
    <row r="292" ht="15.75" customHeight="1">
      <c r="A292" s="43"/>
    </row>
    <row r="293" ht="15.75" customHeight="1">
      <c r="A293" s="43"/>
    </row>
    <row r="294" ht="15.75" customHeight="1">
      <c r="A294" s="43"/>
    </row>
    <row r="295" ht="15.75" customHeight="1">
      <c r="A295" s="43"/>
    </row>
    <row r="296" ht="15.75" customHeight="1">
      <c r="A296" s="43"/>
    </row>
    <row r="297" ht="15.75" customHeight="1">
      <c r="A297" s="43"/>
    </row>
    <row r="298" ht="15.75" customHeight="1">
      <c r="A298" s="43"/>
    </row>
    <row r="299" ht="15.75" customHeight="1">
      <c r="A299" s="43"/>
    </row>
    <row r="300" ht="15.75" customHeight="1">
      <c r="A300" s="43"/>
    </row>
    <row r="301" ht="15.75" customHeight="1">
      <c r="A301" s="43"/>
    </row>
    <row r="302" ht="15.75" customHeight="1">
      <c r="A302" s="43"/>
    </row>
    <row r="303" ht="15.75" customHeight="1">
      <c r="A303" s="43"/>
    </row>
    <row r="304" ht="15.75" customHeight="1">
      <c r="A304" s="43"/>
    </row>
    <row r="305" ht="15.75" customHeight="1">
      <c r="A305" s="43"/>
    </row>
    <row r="306" ht="15.75" customHeight="1">
      <c r="A306" s="43"/>
    </row>
    <row r="307" ht="15.75" customHeight="1">
      <c r="A307" s="43"/>
    </row>
    <row r="308" ht="15.75" customHeight="1">
      <c r="A308" s="43"/>
    </row>
    <row r="309" ht="15.75" customHeight="1">
      <c r="A309" s="43"/>
    </row>
    <row r="310" ht="15.75" customHeight="1">
      <c r="A310" s="43"/>
    </row>
    <row r="311" ht="15.75" customHeight="1">
      <c r="A311" s="43"/>
    </row>
    <row r="312" ht="15.75" customHeight="1">
      <c r="A312" s="43"/>
    </row>
    <row r="313" ht="15.75" customHeight="1">
      <c r="A313" s="43"/>
    </row>
    <row r="314" ht="15.75" customHeight="1">
      <c r="A314" s="43"/>
    </row>
    <row r="315" ht="15.75" customHeight="1">
      <c r="A315" s="43"/>
    </row>
    <row r="316" ht="15.75" customHeight="1">
      <c r="A316" s="43"/>
    </row>
    <row r="317" ht="15.75" customHeight="1">
      <c r="A317" s="43"/>
    </row>
    <row r="318" ht="15.75" customHeight="1">
      <c r="A318" s="43"/>
    </row>
    <row r="319" ht="15.75" customHeight="1">
      <c r="A319" s="43"/>
    </row>
    <row r="320" ht="15.75" customHeight="1">
      <c r="A320" s="43"/>
    </row>
    <row r="321" ht="15.75" customHeight="1">
      <c r="A321" s="43"/>
    </row>
    <row r="322" ht="15.75" customHeight="1">
      <c r="A322" s="43"/>
    </row>
    <row r="323" ht="15.75" customHeight="1">
      <c r="A323" s="43"/>
    </row>
    <row r="324" ht="15.75" customHeight="1">
      <c r="A324" s="43"/>
    </row>
    <row r="325" ht="15.75" customHeight="1">
      <c r="A325" s="43"/>
    </row>
    <row r="326" ht="15.75" customHeight="1">
      <c r="A326" s="43"/>
    </row>
    <row r="327" ht="15.75" customHeight="1">
      <c r="A327" s="43"/>
    </row>
    <row r="328" ht="15.75" customHeight="1">
      <c r="A328" s="43"/>
    </row>
    <row r="329" ht="15.75" customHeight="1">
      <c r="A329" s="43"/>
    </row>
    <row r="330" ht="15.75" customHeight="1">
      <c r="A330" s="43"/>
    </row>
    <row r="331" ht="15.75" customHeight="1">
      <c r="A331" s="43"/>
    </row>
    <row r="332" ht="15.75" customHeight="1">
      <c r="A332" s="43"/>
    </row>
    <row r="333" ht="15.75" customHeight="1">
      <c r="A333" s="43"/>
    </row>
    <row r="334" ht="15.75" customHeight="1">
      <c r="A334" s="43"/>
    </row>
    <row r="335" ht="15.75" customHeight="1">
      <c r="A335" s="43"/>
    </row>
    <row r="336" ht="15.75" customHeight="1">
      <c r="A336" s="43"/>
    </row>
    <row r="337" ht="15.75" customHeight="1">
      <c r="A337" s="43"/>
    </row>
    <row r="338" ht="15.75" customHeight="1">
      <c r="A338" s="43"/>
    </row>
    <row r="339" ht="15.75" customHeight="1">
      <c r="A339" s="43"/>
    </row>
    <row r="340" ht="15.75" customHeight="1">
      <c r="A340" s="43"/>
    </row>
    <row r="341" ht="15.75" customHeight="1">
      <c r="A341" s="43"/>
    </row>
    <row r="342" ht="15.75" customHeight="1">
      <c r="A342" s="43"/>
    </row>
    <row r="343" ht="15.75" customHeight="1">
      <c r="A343" s="43"/>
    </row>
    <row r="344" ht="15.75" customHeight="1">
      <c r="A344" s="43"/>
    </row>
    <row r="345" ht="15.75" customHeight="1">
      <c r="A345" s="43"/>
    </row>
    <row r="346" ht="15.75" customHeight="1">
      <c r="A346" s="43"/>
    </row>
    <row r="347" ht="15.75" customHeight="1">
      <c r="A347" s="43"/>
    </row>
    <row r="348" ht="15.75" customHeight="1">
      <c r="A348" s="43"/>
    </row>
    <row r="349" ht="15.75" customHeight="1">
      <c r="A349" s="43"/>
    </row>
    <row r="350" ht="15.75" customHeight="1">
      <c r="A350" s="43"/>
    </row>
    <row r="351" ht="15.75" customHeight="1">
      <c r="A351" s="43"/>
    </row>
    <row r="352" ht="15.75" customHeight="1">
      <c r="A352" s="43"/>
    </row>
    <row r="353" ht="15.75" customHeight="1">
      <c r="A353" s="43"/>
    </row>
    <row r="354" ht="15.75" customHeight="1">
      <c r="A354" s="43"/>
    </row>
    <row r="355" ht="15.75" customHeight="1">
      <c r="A355" s="43"/>
    </row>
    <row r="356" ht="15.75" customHeight="1">
      <c r="A356" s="43"/>
    </row>
    <row r="357" ht="15.75" customHeight="1">
      <c r="A357" s="43"/>
    </row>
    <row r="358" ht="15.75" customHeight="1">
      <c r="A358" s="43"/>
    </row>
    <row r="359" ht="15.75" customHeight="1">
      <c r="A359" s="43"/>
    </row>
    <row r="360" ht="15.75" customHeight="1">
      <c r="A360" s="43"/>
    </row>
    <row r="361" ht="15.75" customHeight="1">
      <c r="A361" s="43"/>
    </row>
    <row r="362" ht="15.75" customHeight="1">
      <c r="A362" s="43"/>
    </row>
    <row r="363" ht="15.75" customHeight="1">
      <c r="A363" s="43"/>
    </row>
    <row r="364" ht="15.75" customHeight="1">
      <c r="A364" s="43"/>
    </row>
    <row r="365" ht="15.75" customHeight="1">
      <c r="A365" s="43"/>
    </row>
    <row r="366" ht="15.75" customHeight="1">
      <c r="A366" s="43"/>
    </row>
    <row r="367" ht="15.75" customHeight="1">
      <c r="A367" s="43"/>
    </row>
    <row r="368" ht="15.75" customHeight="1">
      <c r="A368" s="43"/>
    </row>
    <row r="369" ht="15.75" customHeight="1">
      <c r="A369" s="43"/>
    </row>
    <row r="370" ht="15.75" customHeight="1">
      <c r="A370" s="43"/>
    </row>
    <row r="371" ht="15.75" customHeight="1">
      <c r="A371" s="43"/>
    </row>
    <row r="372" ht="15.75" customHeight="1">
      <c r="A372" s="43"/>
    </row>
    <row r="373" ht="15.75" customHeight="1">
      <c r="A373" s="43"/>
    </row>
    <row r="374" ht="15.75" customHeight="1">
      <c r="A374" s="43"/>
    </row>
    <row r="375" ht="15.75" customHeight="1">
      <c r="A375" s="43"/>
    </row>
    <row r="376" ht="15.75" customHeight="1">
      <c r="A376" s="43"/>
    </row>
    <row r="377" ht="15.75" customHeight="1">
      <c r="A377" s="43"/>
    </row>
    <row r="378" ht="15.75" customHeight="1">
      <c r="A378" s="43"/>
    </row>
    <row r="379" ht="15.75" customHeight="1">
      <c r="A379" s="43"/>
    </row>
    <row r="380" ht="15.75" customHeight="1">
      <c r="A380" s="43"/>
    </row>
    <row r="381" ht="15.75" customHeight="1">
      <c r="A381" s="43"/>
    </row>
    <row r="382" ht="15.75" customHeight="1">
      <c r="A382" s="43"/>
    </row>
    <row r="383" ht="15.75" customHeight="1">
      <c r="A383" s="43"/>
    </row>
    <row r="384" ht="15.75" customHeight="1">
      <c r="A384" s="43"/>
    </row>
    <row r="385" ht="15.75" customHeight="1">
      <c r="A385" s="43"/>
    </row>
    <row r="386" ht="15.75" customHeight="1">
      <c r="A386" s="43"/>
    </row>
    <row r="387" ht="15.75" customHeight="1">
      <c r="A387" s="43"/>
    </row>
    <row r="388" ht="15.75" customHeight="1">
      <c r="A388" s="43"/>
    </row>
    <row r="389" ht="15.75" customHeight="1">
      <c r="A389" s="43"/>
    </row>
    <row r="390" ht="15.75" customHeight="1">
      <c r="A390" s="43"/>
    </row>
    <row r="391" ht="15.75" customHeight="1">
      <c r="A391" s="43"/>
    </row>
    <row r="392" ht="15.75" customHeight="1">
      <c r="A392" s="43"/>
    </row>
    <row r="393" ht="15.75" customHeight="1">
      <c r="A393" s="43"/>
    </row>
    <row r="394" ht="15.75" customHeight="1">
      <c r="A394" s="43"/>
    </row>
    <row r="395" ht="15.75" customHeight="1">
      <c r="A395" s="43"/>
    </row>
    <row r="396" ht="15.75" customHeight="1">
      <c r="A396" s="43"/>
    </row>
    <row r="397" ht="15.75" customHeight="1">
      <c r="A397" s="43"/>
    </row>
    <row r="398" ht="15.75" customHeight="1">
      <c r="A398" s="43"/>
    </row>
    <row r="399" ht="15.75" customHeight="1">
      <c r="A399" s="43"/>
    </row>
    <row r="400" ht="15.75" customHeight="1">
      <c r="A400" s="43"/>
    </row>
    <row r="401" ht="15.75" customHeight="1">
      <c r="A401" s="43"/>
    </row>
    <row r="402" ht="15.75" customHeight="1">
      <c r="A402" s="43"/>
    </row>
    <row r="403" ht="15.75" customHeight="1">
      <c r="A403" s="43"/>
    </row>
    <row r="404" ht="15.75" customHeight="1">
      <c r="A404" s="43"/>
    </row>
    <row r="405" ht="15.75" customHeight="1">
      <c r="A405" s="43"/>
    </row>
    <row r="406" ht="15.75" customHeight="1">
      <c r="A406" s="43"/>
    </row>
    <row r="407" ht="15.75" customHeight="1">
      <c r="A407" s="43"/>
    </row>
    <row r="408" ht="15.75" customHeight="1">
      <c r="A408" s="43"/>
    </row>
    <row r="409" ht="15.75" customHeight="1">
      <c r="A409" s="43"/>
    </row>
    <row r="410" ht="15.75" customHeight="1">
      <c r="A410" s="43"/>
    </row>
    <row r="411" ht="15.75" customHeight="1">
      <c r="A411" s="43"/>
    </row>
    <row r="412" ht="15.75" customHeight="1">
      <c r="A412" s="43"/>
    </row>
    <row r="413" ht="15.75" customHeight="1">
      <c r="A413" s="43"/>
    </row>
    <row r="414" ht="15.75" customHeight="1">
      <c r="A414" s="43"/>
    </row>
    <row r="415" ht="15.75" customHeight="1">
      <c r="A415" s="43"/>
    </row>
    <row r="416" ht="15.75" customHeight="1">
      <c r="A416" s="43"/>
    </row>
    <row r="417" ht="15.75" customHeight="1">
      <c r="A417" s="43"/>
    </row>
    <row r="418" ht="15.75" customHeight="1">
      <c r="A418" s="43"/>
    </row>
    <row r="419" ht="15.75" customHeight="1">
      <c r="A419" s="43"/>
    </row>
    <row r="420" ht="15.75" customHeight="1">
      <c r="A420" s="43"/>
    </row>
    <row r="421" ht="15.75" customHeight="1">
      <c r="A421" s="43"/>
    </row>
    <row r="422" ht="15.75" customHeight="1">
      <c r="A422" s="43"/>
    </row>
    <row r="423" ht="15.75" customHeight="1">
      <c r="A423" s="43"/>
    </row>
    <row r="424" ht="15.75" customHeight="1">
      <c r="A424" s="43"/>
    </row>
    <row r="425" ht="15.75" customHeight="1">
      <c r="A425" s="43"/>
    </row>
    <row r="426" ht="15.75" customHeight="1">
      <c r="A426" s="43"/>
    </row>
    <row r="427" ht="15.75" customHeight="1">
      <c r="A427" s="43"/>
    </row>
    <row r="428" ht="15.75" customHeight="1">
      <c r="A428" s="43"/>
    </row>
    <row r="429" ht="15.75" customHeight="1">
      <c r="A429" s="43"/>
    </row>
    <row r="430" ht="15.75" customHeight="1">
      <c r="A430" s="43"/>
    </row>
    <row r="431" ht="15.75" customHeight="1">
      <c r="A431" s="43"/>
    </row>
    <row r="432" ht="15.75" customHeight="1">
      <c r="A432" s="43"/>
    </row>
    <row r="433" ht="15.75" customHeight="1">
      <c r="A433" s="43"/>
    </row>
    <row r="434" ht="15.75" customHeight="1">
      <c r="A434" s="43"/>
    </row>
    <row r="435" ht="15.75" customHeight="1">
      <c r="A435" s="43"/>
    </row>
    <row r="436" ht="15.75" customHeight="1">
      <c r="A436" s="43"/>
    </row>
    <row r="437" ht="15.75" customHeight="1">
      <c r="A437" s="43"/>
    </row>
    <row r="438" ht="15.75" customHeight="1">
      <c r="A438" s="43"/>
    </row>
    <row r="439" ht="15.75" customHeight="1">
      <c r="A439" s="43"/>
    </row>
    <row r="440" ht="15.75" customHeight="1">
      <c r="A440" s="43"/>
    </row>
    <row r="441" ht="15.75" customHeight="1">
      <c r="A441" s="43"/>
    </row>
    <row r="442" ht="15.75" customHeight="1">
      <c r="A442" s="43"/>
    </row>
    <row r="443" ht="15.75" customHeight="1">
      <c r="A443" s="43"/>
    </row>
    <row r="444" ht="15.75" customHeight="1">
      <c r="A444" s="43"/>
    </row>
    <row r="445" ht="15.75" customHeight="1">
      <c r="A445" s="43"/>
    </row>
    <row r="446" ht="15.75" customHeight="1">
      <c r="A446" s="43"/>
    </row>
    <row r="447" ht="15.75" customHeight="1">
      <c r="A447" s="43"/>
    </row>
    <row r="448" ht="15.75" customHeight="1">
      <c r="A448" s="43"/>
    </row>
    <row r="449" ht="15.75" customHeight="1">
      <c r="A449" s="43"/>
    </row>
    <row r="450" ht="15.75" customHeight="1">
      <c r="A450" s="43"/>
    </row>
    <row r="451" ht="15.75" customHeight="1">
      <c r="A451" s="43"/>
    </row>
    <row r="452" ht="15.75" customHeight="1">
      <c r="A452" s="43"/>
    </row>
    <row r="453" ht="15.75" customHeight="1">
      <c r="A453" s="43"/>
    </row>
    <row r="454" ht="15.75" customHeight="1">
      <c r="A454" s="43"/>
    </row>
    <row r="455" ht="15.75" customHeight="1">
      <c r="A455" s="43"/>
    </row>
    <row r="456" ht="15.75" customHeight="1">
      <c r="A456" s="43"/>
    </row>
    <row r="457" ht="15.75" customHeight="1">
      <c r="A457" s="43"/>
    </row>
    <row r="458" ht="15.75" customHeight="1">
      <c r="A458" s="43"/>
    </row>
    <row r="459" ht="15.75" customHeight="1">
      <c r="A459" s="43"/>
    </row>
    <row r="460" ht="15.75" customHeight="1">
      <c r="A460" s="43"/>
    </row>
    <row r="461" ht="15.75" customHeight="1">
      <c r="A461" s="43"/>
    </row>
    <row r="462" ht="15.75" customHeight="1">
      <c r="A462" s="43"/>
    </row>
    <row r="463" ht="15.75" customHeight="1">
      <c r="A463" s="43"/>
    </row>
    <row r="464" ht="15.75" customHeight="1">
      <c r="A464" s="43"/>
    </row>
    <row r="465" ht="15.75" customHeight="1">
      <c r="A465" s="43"/>
    </row>
    <row r="466" ht="15.75" customHeight="1">
      <c r="A466" s="43"/>
    </row>
    <row r="467" ht="15.75" customHeight="1">
      <c r="A467" s="43"/>
    </row>
    <row r="468" ht="15.75" customHeight="1">
      <c r="A468" s="43"/>
    </row>
    <row r="469" ht="15.75" customHeight="1">
      <c r="A469" s="43"/>
    </row>
    <row r="470" ht="15.75" customHeight="1">
      <c r="A470" s="43"/>
    </row>
    <row r="471" ht="15.75" customHeight="1">
      <c r="A471" s="43"/>
    </row>
    <row r="472" ht="15.75" customHeight="1">
      <c r="A472" s="43"/>
    </row>
    <row r="473" ht="15.75" customHeight="1">
      <c r="A473" s="43"/>
    </row>
    <row r="474" ht="15.75" customHeight="1">
      <c r="A474" s="43"/>
    </row>
    <row r="475" ht="15.75" customHeight="1">
      <c r="A475" s="43"/>
    </row>
    <row r="476" ht="15.75" customHeight="1">
      <c r="A476" s="43"/>
    </row>
    <row r="477" ht="15.75" customHeight="1">
      <c r="A477" s="43"/>
    </row>
    <row r="478" ht="15.75" customHeight="1">
      <c r="A478" s="43"/>
    </row>
    <row r="479" ht="15.75" customHeight="1">
      <c r="A479" s="43"/>
    </row>
    <row r="480" ht="15.75" customHeight="1">
      <c r="A480" s="43"/>
    </row>
    <row r="481" ht="15.75" customHeight="1">
      <c r="A481" s="43"/>
    </row>
    <row r="482" ht="15.75" customHeight="1">
      <c r="A482" s="43"/>
    </row>
    <row r="483" ht="15.75" customHeight="1">
      <c r="A483" s="43"/>
    </row>
    <row r="484" ht="15.75" customHeight="1">
      <c r="A484" s="43"/>
    </row>
    <row r="485" ht="15.75" customHeight="1">
      <c r="A485" s="43"/>
    </row>
    <row r="486" ht="15.75" customHeight="1">
      <c r="A486" s="43"/>
    </row>
    <row r="487" ht="15.75" customHeight="1">
      <c r="A487" s="43"/>
    </row>
    <row r="488" ht="15.75" customHeight="1">
      <c r="A488" s="43"/>
    </row>
    <row r="489" ht="15.75" customHeight="1">
      <c r="A489" s="43"/>
    </row>
    <row r="490" ht="15.75" customHeight="1">
      <c r="A490" s="43"/>
    </row>
    <row r="491" ht="15.75" customHeight="1">
      <c r="A491" s="43"/>
    </row>
    <row r="492" ht="15.75" customHeight="1">
      <c r="A492" s="43"/>
    </row>
    <row r="493" ht="15.75" customHeight="1">
      <c r="A493" s="43"/>
    </row>
    <row r="494" ht="15.75" customHeight="1">
      <c r="A494" s="43"/>
    </row>
    <row r="495" ht="15.75" customHeight="1">
      <c r="A495" s="43"/>
    </row>
    <row r="496" ht="15.75" customHeight="1">
      <c r="A496" s="43"/>
    </row>
    <row r="497" ht="15.75" customHeight="1">
      <c r="A497" s="43"/>
    </row>
    <row r="498" ht="15.75" customHeight="1">
      <c r="A498" s="43"/>
    </row>
    <row r="499" ht="15.75" customHeight="1">
      <c r="A499" s="43"/>
    </row>
    <row r="500" ht="15.75" customHeight="1">
      <c r="A500" s="43"/>
    </row>
    <row r="501" ht="15.75" customHeight="1">
      <c r="A501" s="43"/>
    </row>
    <row r="502" ht="15.75" customHeight="1">
      <c r="A502" s="43"/>
    </row>
    <row r="503" ht="15.75" customHeight="1">
      <c r="A503" s="43"/>
    </row>
    <row r="504" ht="15.75" customHeight="1">
      <c r="A504" s="43"/>
    </row>
    <row r="505" ht="15.75" customHeight="1">
      <c r="A505" s="43"/>
    </row>
    <row r="506" ht="15.75" customHeight="1">
      <c r="A506" s="43"/>
    </row>
    <row r="507" ht="15.75" customHeight="1">
      <c r="A507" s="43"/>
    </row>
    <row r="508" ht="15.75" customHeight="1">
      <c r="A508" s="43"/>
    </row>
    <row r="509" ht="15.75" customHeight="1">
      <c r="A509" s="43"/>
    </row>
    <row r="510" ht="15.75" customHeight="1">
      <c r="A510" s="43"/>
    </row>
    <row r="511" ht="15.75" customHeight="1">
      <c r="A511" s="43"/>
    </row>
    <row r="512" ht="15.75" customHeight="1">
      <c r="A512" s="43"/>
    </row>
    <row r="513" ht="15.75" customHeight="1">
      <c r="A513" s="43"/>
    </row>
    <row r="514" ht="15.75" customHeight="1">
      <c r="A514" s="43"/>
    </row>
    <row r="515" ht="15.75" customHeight="1">
      <c r="A515" s="43"/>
    </row>
    <row r="516" ht="15.75" customHeight="1">
      <c r="A516" s="43"/>
    </row>
    <row r="517" ht="15.75" customHeight="1">
      <c r="A517" s="43"/>
    </row>
    <row r="518" ht="15.75" customHeight="1">
      <c r="A518" s="43"/>
    </row>
    <row r="519" ht="15.75" customHeight="1">
      <c r="A519" s="43"/>
    </row>
    <row r="520" ht="15.75" customHeight="1">
      <c r="A520" s="43"/>
    </row>
    <row r="521" ht="15.75" customHeight="1">
      <c r="A521" s="43"/>
    </row>
    <row r="522" ht="15.75" customHeight="1">
      <c r="A522" s="43"/>
    </row>
    <row r="523" ht="15.75" customHeight="1">
      <c r="A523" s="43"/>
    </row>
    <row r="524" ht="15.75" customHeight="1">
      <c r="A524" s="43"/>
    </row>
    <row r="525" ht="15.75" customHeight="1">
      <c r="A525" s="43"/>
    </row>
    <row r="526" ht="15.75" customHeight="1">
      <c r="A526" s="43"/>
    </row>
    <row r="527" ht="15.75" customHeight="1">
      <c r="A527" s="43"/>
    </row>
    <row r="528" ht="15.75" customHeight="1">
      <c r="A528" s="43"/>
    </row>
    <row r="529" ht="15.75" customHeight="1">
      <c r="A529" s="43"/>
    </row>
    <row r="530" ht="15.75" customHeight="1">
      <c r="A530" s="43"/>
    </row>
    <row r="531" ht="15.75" customHeight="1">
      <c r="A531" s="43"/>
    </row>
    <row r="532" ht="15.75" customHeight="1">
      <c r="A532" s="43"/>
    </row>
    <row r="533" ht="15.75" customHeight="1">
      <c r="A533" s="43"/>
    </row>
    <row r="534" ht="15.75" customHeight="1">
      <c r="A534" s="43"/>
    </row>
    <row r="535" ht="15.75" customHeight="1">
      <c r="A535" s="43"/>
    </row>
    <row r="536" ht="15.75" customHeight="1">
      <c r="A536" s="43"/>
    </row>
    <row r="537" ht="15.75" customHeight="1">
      <c r="A537" s="43"/>
    </row>
    <row r="538" ht="15.75" customHeight="1">
      <c r="A538" s="43"/>
    </row>
    <row r="539" ht="15.75" customHeight="1">
      <c r="A539" s="43"/>
    </row>
    <row r="540" ht="15.75" customHeight="1">
      <c r="A540" s="43"/>
    </row>
    <row r="541" ht="15.75" customHeight="1">
      <c r="A541" s="43"/>
    </row>
    <row r="542" ht="15.75" customHeight="1">
      <c r="A542" s="43"/>
    </row>
    <row r="543" ht="15.75" customHeight="1">
      <c r="A543" s="43"/>
    </row>
    <row r="544" ht="15.75" customHeight="1">
      <c r="A544" s="43"/>
    </row>
    <row r="545" ht="15.75" customHeight="1">
      <c r="A545" s="43"/>
    </row>
    <row r="546" ht="15.75" customHeight="1">
      <c r="A546" s="43"/>
    </row>
    <row r="547" ht="15.75" customHeight="1">
      <c r="A547" s="43"/>
    </row>
    <row r="548" ht="15.75" customHeight="1">
      <c r="A548" s="43"/>
    </row>
    <row r="549" ht="15.75" customHeight="1">
      <c r="A549" s="43"/>
    </row>
    <row r="550" ht="15.75" customHeight="1">
      <c r="A550" s="43"/>
    </row>
    <row r="551" ht="15.75" customHeight="1">
      <c r="A551" s="43"/>
    </row>
    <row r="552" ht="15.75" customHeight="1">
      <c r="A552" s="43"/>
    </row>
    <row r="553" ht="15.75" customHeight="1">
      <c r="A553" s="43"/>
    </row>
    <row r="554" ht="15.75" customHeight="1">
      <c r="A554" s="43"/>
    </row>
    <row r="555" ht="15.75" customHeight="1">
      <c r="A555" s="43"/>
    </row>
    <row r="556" ht="15.75" customHeight="1">
      <c r="A556" s="43"/>
    </row>
    <row r="557" ht="15.75" customHeight="1">
      <c r="A557" s="43"/>
    </row>
    <row r="558" ht="15.75" customHeight="1">
      <c r="A558" s="43"/>
    </row>
    <row r="559" ht="15.75" customHeight="1">
      <c r="A559" s="43"/>
    </row>
    <row r="560" ht="15.75" customHeight="1">
      <c r="A560" s="43"/>
    </row>
    <row r="561" ht="15.75" customHeight="1">
      <c r="A561" s="43"/>
    </row>
    <row r="562" ht="15.75" customHeight="1">
      <c r="A562" s="43"/>
    </row>
    <row r="563" ht="15.75" customHeight="1">
      <c r="A563" s="43"/>
    </row>
    <row r="564" ht="15.75" customHeight="1">
      <c r="A564" s="43"/>
    </row>
    <row r="565" ht="15.75" customHeight="1">
      <c r="A565" s="43"/>
    </row>
    <row r="566" ht="15.75" customHeight="1">
      <c r="A566" s="43"/>
    </row>
    <row r="567" ht="15.75" customHeight="1">
      <c r="A567" s="43"/>
    </row>
    <row r="568" ht="15.75" customHeight="1">
      <c r="A568" s="43"/>
    </row>
    <row r="569" ht="15.75" customHeight="1">
      <c r="A569" s="43"/>
    </row>
    <row r="570" ht="15.75" customHeight="1">
      <c r="A570" s="43"/>
    </row>
    <row r="571" ht="15.75" customHeight="1">
      <c r="A571" s="43"/>
    </row>
    <row r="572" ht="15.75" customHeight="1">
      <c r="A572" s="43"/>
    </row>
    <row r="573" ht="15.75" customHeight="1">
      <c r="A573" s="43"/>
    </row>
    <row r="574" ht="15.75" customHeight="1">
      <c r="A574" s="43"/>
    </row>
    <row r="575" ht="15.75" customHeight="1">
      <c r="A575" s="43"/>
    </row>
    <row r="576" ht="15.75" customHeight="1">
      <c r="A576" s="43"/>
    </row>
    <row r="577" ht="15.75" customHeight="1">
      <c r="A577" s="43"/>
    </row>
    <row r="578" ht="15.75" customHeight="1">
      <c r="A578" s="43"/>
    </row>
    <row r="579" ht="15.75" customHeight="1">
      <c r="A579" s="43"/>
    </row>
    <row r="580" ht="15.75" customHeight="1">
      <c r="A580" s="43"/>
    </row>
    <row r="581" ht="15.75" customHeight="1">
      <c r="A581" s="43"/>
    </row>
    <row r="582" ht="15.75" customHeight="1">
      <c r="A582" s="43"/>
    </row>
    <row r="583" ht="15.75" customHeight="1">
      <c r="A583" s="43"/>
    </row>
    <row r="584" ht="15.75" customHeight="1">
      <c r="A584" s="43"/>
    </row>
    <row r="585" ht="15.75" customHeight="1">
      <c r="A585" s="43"/>
    </row>
    <row r="586" ht="15.75" customHeight="1">
      <c r="A586" s="43"/>
    </row>
    <row r="587" ht="15.75" customHeight="1">
      <c r="A587" s="43"/>
    </row>
    <row r="588" ht="15.75" customHeight="1">
      <c r="A588" s="43"/>
    </row>
    <row r="589" ht="15.75" customHeight="1">
      <c r="A589" s="43"/>
    </row>
    <row r="590" ht="15.75" customHeight="1">
      <c r="A590" s="43"/>
    </row>
    <row r="591" ht="15.75" customHeight="1">
      <c r="A591" s="43"/>
    </row>
    <row r="592" ht="15.75" customHeight="1">
      <c r="A592" s="43"/>
    </row>
    <row r="593" ht="15.75" customHeight="1">
      <c r="A593" s="43"/>
    </row>
    <row r="594" ht="15.75" customHeight="1">
      <c r="A594" s="43"/>
    </row>
    <row r="595" ht="15.75" customHeight="1">
      <c r="A595" s="43"/>
    </row>
    <row r="596" ht="15.75" customHeight="1">
      <c r="A596" s="43"/>
    </row>
    <row r="597" ht="15.75" customHeight="1">
      <c r="A597" s="43"/>
    </row>
    <row r="598" ht="15.75" customHeight="1">
      <c r="A598" s="43"/>
    </row>
    <row r="599" ht="15.75" customHeight="1">
      <c r="A599" s="43"/>
    </row>
    <row r="600" ht="15.75" customHeight="1">
      <c r="A600" s="43"/>
    </row>
    <row r="601" ht="15.75" customHeight="1">
      <c r="A601" s="43"/>
    </row>
    <row r="602" ht="15.75" customHeight="1">
      <c r="A602" s="43"/>
    </row>
    <row r="603" ht="15.75" customHeight="1">
      <c r="A603" s="43"/>
    </row>
    <row r="604" ht="15.75" customHeight="1">
      <c r="A604" s="43"/>
    </row>
    <row r="605" ht="15.75" customHeight="1">
      <c r="A605" s="43"/>
    </row>
    <row r="606" ht="15.75" customHeight="1">
      <c r="A606" s="43"/>
    </row>
    <row r="607" ht="15.75" customHeight="1">
      <c r="A607" s="43"/>
    </row>
    <row r="608" ht="15.75" customHeight="1">
      <c r="A608" s="43"/>
    </row>
    <row r="609" ht="15.75" customHeight="1">
      <c r="A609" s="43"/>
    </row>
    <row r="610" ht="15.75" customHeight="1">
      <c r="A610" s="43"/>
    </row>
    <row r="611" ht="15.75" customHeight="1">
      <c r="A611" s="43"/>
    </row>
    <row r="612" ht="15.75" customHeight="1">
      <c r="A612" s="43"/>
    </row>
    <row r="613" ht="15.75" customHeight="1">
      <c r="A613" s="43"/>
    </row>
    <row r="614" ht="15.75" customHeight="1">
      <c r="A614" s="43"/>
    </row>
    <row r="615" ht="15.75" customHeight="1">
      <c r="A615" s="43"/>
    </row>
    <row r="616" ht="15.75" customHeight="1">
      <c r="A616" s="43"/>
    </row>
    <row r="617" ht="15.75" customHeight="1">
      <c r="A617" s="43"/>
    </row>
    <row r="618" ht="15.75" customHeight="1">
      <c r="A618" s="43"/>
    </row>
    <row r="619" ht="15.75" customHeight="1">
      <c r="A619" s="43"/>
    </row>
    <row r="620" ht="15.75" customHeight="1">
      <c r="A620" s="43"/>
    </row>
    <row r="621" ht="15.75" customHeight="1">
      <c r="A621" s="43"/>
    </row>
    <row r="622" ht="15.75" customHeight="1">
      <c r="A622" s="43"/>
    </row>
    <row r="623" ht="15.75" customHeight="1">
      <c r="A623" s="43"/>
    </row>
    <row r="624" ht="15.75" customHeight="1">
      <c r="A624" s="43"/>
    </row>
    <row r="625" ht="15.75" customHeight="1">
      <c r="A625" s="43"/>
    </row>
    <row r="626" ht="15.75" customHeight="1">
      <c r="A626" s="43"/>
    </row>
    <row r="627" ht="15.75" customHeight="1">
      <c r="A627" s="43"/>
    </row>
    <row r="628" ht="15.75" customHeight="1">
      <c r="A628" s="43"/>
    </row>
    <row r="629" ht="15.75" customHeight="1">
      <c r="A629" s="43"/>
    </row>
    <row r="630" ht="15.75" customHeight="1">
      <c r="A630" s="43"/>
    </row>
    <row r="631" ht="15.75" customHeight="1">
      <c r="A631" s="43"/>
    </row>
    <row r="632" ht="15.75" customHeight="1">
      <c r="A632" s="43"/>
    </row>
    <row r="633" ht="15.75" customHeight="1">
      <c r="A633" s="43"/>
    </row>
    <row r="634" ht="15.75" customHeight="1">
      <c r="A634" s="43"/>
    </row>
    <row r="635" ht="15.75" customHeight="1">
      <c r="A635" s="43"/>
    </row>
    <row r="636" ht="15.75" customHeight="1">
      <c r="A636" s="43"/>
    </row>
    <row r="637" ht="15.75" customHeight="1">
      <c r="A637" s="43"/>
    </row>
    <row r="638" ht="15.75" customHeight="1">
      <c r="A638" s="43"/>
    </row>
    <row r="639" ht="15.75" customHeight="1">
      <c r="A639" s="43"/>
    </row>
    <row r="640" ht="15.75" customHeight="1">
      <c r="A640" s="43"/>
    </row>
    <row r="641" ht="15.75" customHeight="1">
      <c r="A641" s="43"/>
    </row>
    <row r="642" ht="15.75" customHeight="1">
      <c r="A642" s="43"/>
    </row>
    <row r="643" ht="15.75" customHeight="1">
      <c r="A643" s="43"/>
    </row>
    <row r="644" ht="15.75" customHeight="1">
      <c r="A644" s="43"/>
    </row>
    <row r="645" ht="15.75" customHeight="1">
      <c r="A645" s="43"/>
    </row>
    <row r="646" ht="15.75" customHeight="1">
      <c r="A646" s="43"/>
    </row>
    <row r="647" ht="15.75" customHeight="1">
      <c r="A647" s="43"/>
    </row>
    <row r="648" ht="15.75" customHeight="1">
      <c r="A648" s="43"/>
    </row>
    <row r="649" ht="15.75" customHeight="1">
      <c r="A649" s="43"/>
    </row>
    <row r="650" ht="15.75" customHeight="1">
      <c r="A650" s="43"/>
    </row>
    <row r="651" ht="15.75" customHeight="1">
      <c r="A651" s="43"/>
    </row>
    <row r="652" ht="15.75" customHeight="1">
      <c r="A652" s="43"/>
    </row>
    <row r="653" ht="15.75" customHeight="1">
      <c r="A653" s="43"/>
    </row>
    <row r="654" ht="15.75" customHeight="1">
      <c r="A654" s="43"/>
    </row>
    <row r="655" ht="15.75" customHeight="1">
      <c r="A655" s="43"/>
    </row>
    <row r="656" ht="15.75" customHeight="1">
      <c r="A656" s="43"/>
    </row>
    <row r="657" ht="15.75" customHeight="1">
      <c r="A657" s="43"/>
    </row>
    <row r="658" ht="15.75" customHeight="1">
      <c r="A658" s="43"/>
    </row>
    <row r="659" ht="15.75" customHeight="1">
      <c r="A659" s="43"/>
    </row>
    <row r="660" ht="15.75" customHeight="1">
      <c r="A660" s="43"/>
    </row>
    <row r="661" ht="15.75" customHeight="1">
      <c r="A661" s="43"/>
    </row>
    <row r="662" ht="15.75" customHeight="1">
      <c r="A662" s="43"/>
    </row>
    <row r="663" ht="15.75" customHeight="1">
      <c r="A663" s="43"/>
    </row>
    <row r="664" ht="15.75" customHeight="1">
      <c r="A664" s="43"/>
    </row>
    <row r="665" ht="15.75" customHeight="1">
      <c r="A665" s="43"/>
    </row>
    <row r="666" ht="15.75" customHeight="1">
      <c r="A666" s="43"/>
    </row>
    <row r="667" ht="15.75" customHeight="1">
      <c r="A667" s="43"/>
    </row>
    <row r="668" ht="15.75" customHeight="1">
      <c r="A668" s="43"/>
    </row>
    <row r="669" ht="15.75" customHeight="1">
      <c r="A669" s="43"/>
    </row>
    <row r="670" ht="15.75" customHeight="1">
      <c r="A670" s="43"/>
    </row>
    <row r="671" ht="15.75" customHeight="1">
      <c r="A671" s="43"/>
    </row>
    <row r="672" ht="15.75" customHeight="1">
      <c r="A672" s="43"/>
    </row>
    <row r="673" ht="15.75" customHeight="1">
      <c r="A673" s="43"/>
    </row>
    <row r="674" ht="15.75" customHeight="1">
      <c r="A674" s="43"/>
    </row>
    <row r="675" ht="15.75" customHeight="1">
      <c r="A675" s="43"/>
    </row>
    <row r="676" ht="15.75" customHeight="1">
      <c r="A676" s="43"/>
    </row>
    <row r="677" ht="15.75" customHeight="1">
      <c r="A677" s="43"/>
    </row>
    <row r="678" ht="15.75" customHeight="1">
      <c r="A678" s="43"/>
    </row>
    <row r="679" ht="15.75" customHeight="1">
      <c r="A679" s="43"/>
    </row>
    <row r="680" ht="15.75" customHeight="1">
      <c r="A680" s="43"/>
    </row>
    <row r="681" ht="15.75" customHeight="1">
      <c r="A681" s="43"/>
    </row>
    <row r="682" ht="15.75" customHeight="1">
      <c r="A682" s="43"/>
    </row>
    <row r="683" ht="15.75" customHeight="1">
      <c r="A683" s="43"/>
    </row>
    <row r="684" ht="15.75" customHeight="1">
      <c r="A684" s="43"/>
    </row>
    <row r="685" ht="15.75" customHeight="1">
      <c r="A685" s="43"/>
    </row>
    <row r="686" ht="15.75" customHeight="1">
      <c r="A686" s="43"/>
    </row>
    <row r="687" ht="15.75" customHeight="1">
      <c r="A687" s="43"/>
    </row>
    <row r="688" ht="15.75" customHeight="1">
      <c r="A688" s="43"/>
    </row>
    <row r="689" ht="15.75" customHeight="1">
      <c r="A689" s="43"/>
    </row>
    <row r="690" ht="15.75" customHeight="1">
      <c r="A690" s="43"/>
    </row>
    <row r="691" ht="15.75" customHeight="1">
      <c r="A691" s="43"/>
    </row>
    <row r="692" ht="15.75" customHeight="1">
      <c r="A692" s="43"/>
    </row>
    <row r="693" ht="15.75" customHeight="1">
      <c r="A693" s="43"/>
    </row>
    <row r="694" ht="15.75" customHeight="1">
      <c r="A694" s="43"/>
    </row>
    <row r="695" ht="15.75" customHeight="1">
      <c r="A695" s="43"/>
    </row>
    <row r="696" ht="15.75" customHeight="1">
      <c r="A696" s="43"/>
    </row>
    <row r="697" ht="15.75" customHeight="1">
      <c r="A697" s="43"/>
    </row>
    <row r="698" ht="15.75" customHeight="1">
      <c r="A698" s="43"/>
    </row>
    <row r="699" ht="15.75" customHeight="1">
      <c r="A699" s="43"/>
    </row>
    <row r="700" ht="15.75" customHeight="1">
      <c r="A700" s="43"/>
    </row>
    <row r="701" ht="15.75" customHeight="1">
      <c r="A701" s="43"/>
    </row>
    <row r="702" ht="15.75" customHeight="1">
      <c r="A702" s="43"/>
    </row>
    <row r="703" ht="15.75" customHeight="1">
      <c r="A703" s="43"/>
    </row>
    <row r="704" ht="15.75" customHeight="1">
      <c r="A704" s="43"/>
    </row>
    <row r="705" ht="15.75" customHeight="1">
      <c r="A705" s="43"/>
    </row>
    <row r="706" ht="15.75" customHeight="1">
      <c r="A706" s="43"/>
    </row>
    <row r="707" ht="15.75" customHeight="1">
      <c r="A707" s="43"/>
    </row>
    <row r="708" ht="15.75" customHeight="1">
      <c r="A708" s="43"/>
    </row>
    <row r="709" ht="15.75" customHeight="1">
      <c r="A709" s="43"/>
    </row>
    <row r="710" ht="15.75" customHeight="1">
      <c r="A710" s="43"/>
    </row>
    <row r="711" ht="15.75" customHeight="1">
      <c r="A711" s="43"/>
    </row>
    <row r="712" ht="15.75" customHeight="1">
      <c r="A712" s="43"/>
    </row>
    <row r="713" ht="15.75" customHeight="1">
      <c r="A713" s="43"/>
    </row>
    <row r="714" ht="15.75" customHeight="1">
      <c r="A714" s="43"/>
    </row>
    <row r="715" ht="15.75" customHeight="1">
      <c r="A715" s="43"/>
    </row>
    <row r="716" ht="15.75" customHeight="1">
      <c r="A716" s="43"/>
    </row>
    <row r="717" ht="15.75" customHeight="1">
      <c r="A717" s="43"/>
    </row>
    <row r="718" ht="15.75" customHeight="1">
      <c r="A718" s="43"/>
    </row>
    <row r="719" ht="15.75" customHeight="1">
      <c r="A719" s="43"/>
    </row>
    <row r="720" ht="15.75" customHeight="1">
      <c r="A720" s="43"/>
    </row>
    <row r="721" ht="15.75" customHeight="1">
      <c r="A721" s="43"/>
    </row>
    <row r="722" ht="15.75" customHeight="1">
      <c r="A722" s="43"/>
    </row>
    <row r="723" ht="15.75" customHeight="1">
      <c r="A723" s="43"/>
    </row>
    <row r="724" ht="15.75" customHeight="1">
      <c r="A724" s="43"/>
    </row>
    <row r="725" ht="15.75" customHeight="1">
      <c r="A725" s="43"/>
    </row>
    <row r="726" ht="15.75" customHeight="1">
      <c r="A726" s="43"/>
    </row>
    <row r="727" ht="15.75" customHeight="1">
      <c r="A727" s="43"/>
    </row>
    <row r="728" ht="15.75" customHeight="1">
      <c r="A728" s="43"/>
    </row>
    <row r="729" ht="15.75" customHeight="1">
      <c r="A729" s="43"/>
    </row>
    <row r="730" ht="15.75" customHeight="1">
      <c r="A730" s="43"/>
    </row>
    <row r="731" ht="15.75" customHeight="1">
      <c r="A731" s="43"/>
    </row>
    <row r="732" ht="15.75" customHeight="1">
      <c r="A732" s="43"/>
    </row>
    <row r="733" ht="15.75" customHeight="1">
      <c r="A733" s="43"/>
    </row>
    <row r="734" ht="15.75" customHeight="1">
      <c r="A734" s="43"/>
    </row>
    <row r="735" ht="15.75" customHeight="1">
      <c r="A735" s="43"/>
    </row>
    <row r="736" ht="15.75" customHeight="1">
      <c r="A736" s="43"/>
    </row>
    <row r="737" ht="15.75" customHeight="1">
      <c r="A737" s="43"/>
    </row>
    <row r="738" ht="15.75" customHeight="1">
      <c r="A738" s="43"/>
    </row>
    <row r="739" ht="15.75" customHeight="1">
      <c r="A739" s="43"/>
    </row>
    <row r="740" ht="15.75" customHeight="1">
      <c r="A740" s="43"/>
    </row>
    <row r="741" ht="15.75" customHeight="1">
      <c r="A741" s="43"/>
    </row>
    <row r="742" ht="15.75" customHeight="1">
      <c r="A742" s="43"/>
    </row>
    <row r="743" ht="15.75" customHeight="1">
      <c r="A743" s="43"/>
    </row>
    <row r="744" ht="15.75" customHeight="1">
      <c r="A744" s="43"/>
    </row>
    <row r="745" ht="15.75" customHeight="1">
      <c r="A745" s="43"/>
    </row>
    <row r="746" ht="15.75" customHeight="1">
      <c r="A746" s="43"/>
    </row>
    <row r="747" ht="15.75" customHeight="1">
      <c r="A747" s="43"/>
    </row>
    <row r="748" ht="15.75" customHeight="1">
      <c r="A748" s="43"/>
    </row>
    <row r="749" ht="15.75" customHeight="1">
      <c r="A749" s="43"/>
    </row>
    <row r="750" ht="15.75" customHeight="1">
      <c r="A750" s="43"/>
    </row>
    <row r="751" ht="15.75" customHeight="1">
      <c r="A751" s="43"/>
    </row>
    <row r="752" ht="15.75" customHeight="1">
      <c r="A752" s="43"/>
    </row>
    <row r="753" ht="15.75" customHeight="1">
      <c r="A753" s="43"/>
    </row>
    <row r="754" ht="15.75" customHeight="1">
      <c r="A754" s="43"/>
    </row>
    <row r="755" ht="15.75" customHeight="1">
      <c r="A755" s="43"/>
    </row>
    <row r="756" ht="15.75" customHeight="1">
      <c r="A756" s="43"/>
    </row>
    <row r="757" ht="15.75" customHeight="1">
      <c r="A757" s="43"/>
    </row>
    <row r="758" ht="15.75" customHeight="1">
      <c r="A758" s="43"/>
    </row>
    <row r="759" ht="15.75" customHeight="1">
      <c r="A759" s="43"/>
    </row>
    <row r="760" ht="15.75" customHeight="1">
      <c r="A760" s="43"/>
    </row>
    <row r="761" ht="15.75" customHeight="1">
      <c r="A761" s="43"/>
    </row>
    <row r="762" ht="15.75" customHeight="1">
      <c r="A762" s="43"/>
    </row>
    <row r="763" ht="15.75" customHeight="1">
      <c r="A763" s="43"/>
    </row>
    <row r="764" ht="15.75" customHeight="1">
      <c r="A764" s="43"/>
    </row>
    <row r="765" ht="15.75" customHeight="1">
      <c r="A765" s="43"/>
    </row>
    <row r="766" ht="15.75" customHeight="1">
      <c r="A766" s="43"/>
    </row>
    <row r="767" ht="15.75" customHeight="1">
      <c r="A767" s="43"/>
    </row>
    <row r="768" ht="15.75" customHeight="1">
      <c r="A768" s="43"/>
    </row>
    <row r="769" ht="15.75" customHeight="1">
      <c r="A769" s="43"/>
    </row>
    <row r="770" ht="15.75" customHeight="1">
      <c r="A770" s="43"/>
    </row>
    <row r="771" ht="15.75" customHeight="1">
      <c r="A771" s="43"/>
    </row>
    <row r="772" ht="15.75" customHeight="1">
      <c r="A772" s="43"/>
    </row>
    <row r="773" ht="15.75" customHeight="1">
      <c r="A773" s="43"/>
    </row>
    <row r="774" ht="15.75" customHeight="1">
      <c r="A774" s="43"/>
    </row>
    <row r="775" ht="15.75" customHeight="1">
      <c r="A775" s="43"/>
    </row>
    <row r="776" ht="15.75" customHeight="1">
      <c r="A776" s="43"/>
    </row>
    <row r="777" ht="15.75" customHeight="1">
      <c r="A777" s="43"/>
    </row>
    <row r="778" ht="15.75" customHeight="1">
      <c r="A778" s="43"/>
    </row>
    <row r="779" ht="15.75" customHeight="1">
      <c r="A779" s="43"/>
    </row>
    <row r="780" ht="15.75" customHeight="1">
      <c r="A780" s="43"/>
    </row>
    <row r="781" ht="15.75" customHeight="1">
      <c r="A781" s="43"/>
    </row>
    <row r="782" ht="15.75" customHeight="1">
      <c r="A782" s="43"/>
    </row>
    <row r="783" ht="15.75" customHeight="1">
      <c r="A783" s="43"/>
    </row>
    <row r="784" ht="15.75" customHeight="1">
      <c r="A784" s="43"/>
    </row>
    <row r="785" ht="15.75" customHeight="1">
      <c r="A785" s="43"/>
    </row>
    <row r="786" ht="15.75" customHeight="1">
      <c r="A786" s="43"/>
    </row>
    <row r="787" ht="15.75" customHeight="1">
      <c r="A787" s="43"/>
    </row>
    <row r="788" ht="15.75" customHeight="1">
      <c r="A788" s="43"/>
    </row>
    <row r="789" ht="15.75" customHeight="1">
      <c r="A789" s="43"/>
    </row>
    <row r="790" ht="15.75" customHeight="1">
      <c r="A790" s="43"/>
    </row>
    <row r="791" ht="15.75" customHeight="1">
      <c r="A791" s="43"/>
    </row>
    <row r="792" ht="15.75" customHeight="1">
      <c r="A792" s="43"/>
    </row>
    <row r="793" ht="15.75" customHeight="1">
      <c r="A793" s="43"/>
    </row>
    <row r="794" ht="15.75" customHeight="1">
      <c r="A794" s="43"/>
    </row>
    <row r="795" ht="15.75" customHeight="1">
      <c r="A795" s="43"/>
    </row>
    <row r="796" ht="15.75" customHeight="1">
      <c r="A796" s="43"/>
    </row>
    <row r="797" ht="15.75" customHeight="1">
      <c r="A797" s="43"/>
    </row>
    <row r="798" ht="15.75" customHeight="1">
      <c r="A798" s="43"/>
    </row>
    <row r="799" ht="15.75" customHeight="1">
      <c r="A799" s="43"/>
    </row>
    <row r="800" ht="15.75" customHeight="1">
      <c r="A800" s="43"/>
    </row>
    <row r="801" ht="15.75" customHeight="1">
      <c r="A801" s="43"/>
    </row>
    <row r="802" ht="15.75" customHeight="1">
      <c r="A802" s="43"/>
    </row>
    <row r="803" ht="15.75" customHeight="1">
      <c r="A803" s="43"/>
    </row>
    <row r="804" ht="15.75" customHeight="1">
      <c r="A804" s="43"/>
    </row>
    <row r="805" ht="15.75" customHeight="1">
      <c r="A805" s="43"/>
    </row>
    <row r="806" ht="15.75" customHeight="1">
      <c r="A806" s="43"/>
    </row>
    <row r="807" ht="15.75" customHeight="1">
      <c r="A807" s="43"/>
    </row>
    <row r="808" ht="15.75" customHeight="1">
      <c r="A808" s="43"/>
    </row>
    <row r="809" ht="15.75" customHeight="1">
      <c r="A809" s="43"/>
    </row>
    <row r="810" ht="15.75" customHeight="1">
      <c r="A810" s="43"/>
    </row>
    <row r="811" ht="15.75" customHeight="1">
      <c r="A811" s="43"/>
    </row>
    <row r="812" ht="15.75" customHeight="1">
      <c r="A812" s="43"/>
    </row>
    <row r="813" ht="15.75" customHeight="1">
      <c r="A813" s="43"/>
    </row>
    <row r="814" ht="15.75" customHeight="1">
      <c r="A814" s="43"/>
    </row>
    <row r="815" ht="15.75" customHeight="1">
      <c r="A815" s="43"/>
    </row>
    <row r="816" ht="15.75" customHeight="1">
      <c r="A816" s="43"/>
    </row>
    <row r="817" ht="15.75" customHeight="1">
      <c r="A817" s="43"/>
    </row>
    <row r="818" ht="15.75" customHeight="1">
      <c r="A818" s="43"/>
    </row>
    <row r="819" ht="15.75" customHeight="1">
      <c r="A819" s="43"/>
    </row>
    <row r="820" ht="15.75" customHeight="1">
      <c r="A820" s="43"/>
    </row>
    <row r="821" ht="15.75" customHeight="1">
      <c r="A821" s="43"/>
    </row>
    <row r="822" ht="15.75" customHeight="1">
      <c r="A822" s="43"/>
    </row>
    <row r="823" ht="15.75" customHeight="1">
      <c r="A823" s="43"/>
    </row>
    <row r="824" ht="15.75" customHeight="1">
      <c r="A824" s="43"/>
    </row>
    <row r="825" ht="15.75" customHeight="1">
      <c r="A825" s="43"/>
    </row>
    <row r="826" ht="15.75" customHeight="1">
      <c r="A826" s="43"/>
    </row>
    <row r="827" ht="15.75" customHeight="1">
      <c r="A827" s="43"/>
    </row>
    <row r="828" ht="15.75" customHeight="1">
      <c r="A828" s="43"/>
    </row>
    <row r="829" ht="15.75" customHeight="1">
      <c r="A829" s="43"/>
    </row>
    <row r="830" ht="15.75" customHeight="1">
      <c r="A830" s="43"/>
    </row>
    <row r="831" ht="15.75" customHeight="1">
      <c r="A831" s="43"/>
    </row>
    <row r="832" ht="15.75" customHeight="1">
      <c r="A832" s="43"/>
    </row>
    <row r="833" ht="15.75" customHeight="1">
      <c r="A833" s="43"/>
    </row>
    <row r="834" ht="15.75" customHeight="1">
      <c r="A834" s="43"/>
    </row>
    <row r="835" ht="15.75" customHeight="1">
      <c r="A835" s="43"/>
    </row>
    <row r="836" ht="15.75" customHeight="1">
      <c r="A836" s="43"/>
    </row>
    <row r="837" ht="15.75" customHeight="1">
      <c r="A837" s="43"/>
    </row>
    <row r="838" ht="15.75" customHeight="1">
      <c r="A838" s="43"/>
    </row>
    <row r="839" ht="15.75" customHeight="1">
      <c r="A839" s="43"/>
    </row>
    <row r="840" ht="15.75" customHeight="1">
      <c r="A840" s="43"/>
    </row>
    <row r="841" ht="15.75" customHeight="1">
      <c r="A841" s="43"/>
    </row>
    <row r="842" ht="15.75" customHeight="1">
      <c r="A842" s="43"/>
    </row>
    <row r="843" ht="15.75" customHeight="1">
      <c r="A843" s="43"/>
    </row>
    <row r="844" ht="15.75" customHeight="1">
      <c r="A844" s="43"/>
    </row>
    <row r="845" ht="15.75" customHeight="1">
      <c r="A845" s="43"/>
    </row>
    <row r="846" ht="15.75" customHeight="1">
      <c r="A846" s="43"/>
    </row>
    <row r="847" ht="15.75" customHeight="1">
      <c r="A847" s="43"/>
    </row>
    <row r="848" ht="15.75" customHeight="1">
      <c r="A848" s="43"/>
    </row>
    <row r="849" ht="15.75" customHeight="1">
      <c r="A849" s="43"/>
    </row>
    <row r="850" ht="15.75" customHeight="1">
      <c r="A850" s="43"/>
    </row>
    <row r="851" ht="15.75" customHeight="1">
      <c r="A851" s="43"/>
    </row>
    <row r="852" ht="15.75" customHeight="1">
      <c r="A852" s="43"/>
    </row>
    <row r="853" ht="15.75" customHeight="1">
      <c r="A853" s="43"/>
    </row>
    <row r="854" ht="15.75" customHeight="1">
      <c r="A854" s="43"/>
    </row>
    <row r="855" ht="15.75" customHeight="1">
      <c r="A855" s="43"/>
    </row>
    <row r="856" ht="15.75" customHeight="1">
      <c r="A856" s="43"/>
    </row>
    <row r="857" ht="15.75" customHeight="1">
      <c r="A857" s="43"/>
    </row>
    <row r="858" ht="15.75" customHeight="1">
      <c r="A858" s="43"/>
    </row>
    <row r="859" ht="15.75" customHeight="1">
      <c r="A859" s="43"/>
    </row>
    <row r="860" ht="15.75" customHeight="1">
      <c r="A860" s="43"/>
    </row>
    <row r="861" ht="15.75" customHeight="1">
      <c r="A861" s="43"/>
    </row>
    <row r="862" ht="15.75" customHeight="1">
      <c r="A862" s="43"/>
    </row>
    <row r="863" ht="15.75" customHeight="1">
      <c r="A863" s="43"/>
    </row>
    <row r="864" ht="15.75" customHeight="1">
      <c r="A864" s="43"/>
    </row>
    <row r="865" ht="15.75" customHeight="1">
      <c r="A865" s="43"/>
    </row>
    <row r="866" ht="15.75" customHeight="1">
      <c r="A866" s="43"/>
    </row>
    <row r="867" ht="15.75" customHeight="1">
      <c r="A867" s="43"/>
    </row>
    <row r="868" ht="15.75" customHeight="1">
      <c r="A868" s="43"/>
    </row>
    <row r="869" ht="15.75" customHeight="1">
      <c r="A869" s="43"/>
    </row>
    <row r="870" ht="15.75" customHeight="1">
      <c r="A870" s="43"/>
    </row>
    <row r="871" ht="15.75" customHeight="1">
      <c r="A871" s="43"/>
    </row>
    <row r="872" ht="15.75" customHeight="1">
      <c r="A872" s="43"/>
    </row>
    <row r="873" ht="15.75" customHeight="1">
      <c r="A873" s="43"/>
    </row>
    <row r="874" ht="15.75" customHeight="1">
      <c r="A874" s="43"/>
    </row>
    <row r="875" ht="15.75" customHeight="1">
      <c r="A875" s="43"/>
    </row>
    <row r="876" ht="15.75" customHeight="1">
      <c r="A876" s="43"/>
    </row>
    <row r="877" ht="15.75" customHeight="1">
      <c r="A877" s="43"/>
    </row>
    <row r="878" ht="15.75" customHeight="1">
      <c r="A878" s="43"/>
    </row>
    <row r="879" ht="15.75" customHeight="1">
      <c r="A879" s="43"/>
    </row>
    <row r="880" ht="15.75" customHeight="1">
      <c r="A880" s="43"/>
    </row>
    <row r="881" ht="15.75" customHeight="1">
      <c r="A881" s="43"/>
    </row>
    <row r="882" ht="15.75" customHeight="1">
      <c r="A882" s="43"/>
    </row>
    <row r="883" ht="15.75" customHeight="1">
      <c r="A883" s="43"/>
    </row>
    <row r="884" ht="15.75" customHeight="1">
      <c r="A884" s="43"/>
    </row>
    <row r="885" ht="15.75" customHeight="1">
      <c r="A885" s="43"/>
    </row>
    <row r="886" ht="15.75" customHeight="1">
      <c r="A886" s="43"/>
    </row>
    <row r="887" ht="15.75" customHeight="1">
      <c r="A887" s="43"/>
    </row>
    <row r="888" ht="15.75" customHeight="1">
      <c r="A888" s="43"/>
    </row>
    <row r="889" ht="15.75" customHeight="1">
      <c r="A889" s="43"/>
    </row>
    <row r="890" ht="15.75" customHeight="1">
      <c r="A890" s="43"/>
    </row>
    <row r="891" ht="15.75" customHeight="1">
      <c r="A891" s="43"/>
    </row>
    <row r="892" ht="15.75" customHeight="1">
      <c r="A892" s="43"/>
    </row>
    <row r="893" ht="15.75" customHeight="1">
      <c r="A893" s="43"/>
    </row>
    <row r="894" ht="15.75" customHeight="1">
      <c r="A894" s="43"/>
    </row>
    <row r="895" ht="15.75" customHeight="1">
      <c r="A895" s="43"/>
    </row>
    <row r="896" ht="15.75" customHeight="1">
      <c r="A896" s="43"/>
    </row>
    <row r="897" ht="15.75" customHeight="1">
      <c r="A897" s="43"/>
    </row>
    <row r="898" ht="15.75" customHeight="1">
      <c r="A898" s="43"/>
    </row>
    <row r="899" ht="15.75" customHeight="1">
      <c r="A899" s="43"/>
    </row>
    <row r="900" ht="15.75" customHeight="1">
      <c r="A900" s="43"/>
    </row>
    <row r="901" ht="15.75" customHeight="1">
      <c r="A901" s="43"/>
    </row>
    <row r="902" ht="15.75" customHeight="1">
      <c r="A902" s="43"/>
    </row>
    <row r="903" ht="15.75" customHeight="1">
      <c r="A903" s="43"/>
    </row>
    <row r="904" ht="15.75" customHeight="1">
      <c r="A904" s="43"/>
    </row>
    <row r="905" ht="15.75" customHeight="1">
      <c r="A905" s="43"/>
    </row>
    <row r="906" ht="15.75" customHeight="1">
      <c r="A906" s="43"/>
    </row>
    <row r="907" ht="15.75" customHeight="1">
      <c r="A907" s="43"/>
    </row>
    <row r="908" ht="15.75" customHeight="1">
      <c r="A908" s="43"/>
    </row>
    <row r="909" ht="15.75" customHeight="1">
      <c r="A909" s="43"/>
    </row>
    <row r="910" ht="15.75" customHeight="1">
      <c r="A910" s="43"/>
    </row>
  </sheetData>
  <mergeCells count="2">
    <mergeCell ref="A2:F6"/>
    <mergeCell ref="A35:O39"/>
  </mergeCells>
  <hyperlinks>
    <hyperlink r:id="rId1" ref="A10"/>
    <hyperlink r:id="rId2" ref="A11"/>
    <hyperlink r:id="rId3" ref="A12"/>
    <hyperlink r:id="rId4" ref="A13"/>
    <hyperlink r:id="rId5" ref="A14"/>
    <hyperlink r:id="rId6" ref="A15"/>
    <hyperlink r:id="rId7" ref="A16"/>
    <hyperlink r:id="rId8" ref="A17"/>
    <hyperlink r:id="rId9" ref="A18"/>
    <hyperlink r:id="rId10" ref="A19"/>
  </hyperlinks>
  <printOptions/>
  <pageMargins bottom="1.0" footer="0.0" header="0.0" left="0.75" right="0.75" top="1.0"/>
  <pageSetup orientation="landscape"/>
  <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0"/>
    <col customWidth="1" min="2" max="2" width="10.0"/>
    <col customWidth="1" min="3" max="3" width="6.0"/>
    <col customWidth="1" min="4" max="6" width="10.0"/>
    <col customWidth="1" min="7" max="7" width="17.0"/>
    <col customWidth="1" min="8" max="25" width="8.71"/>
  </cols>
  <sheetData>
    <row r="1" ht="15.75" customHeight="1">
      <c r="G1" s="45" t="s">
        <v>408</v>
      </c>
      <c r="H1" s="46"/>
      <c r="I1" s="46"/>
      <c r="J1" s="46"/>
      <c r="K1" s="46"/>
      <c r="L1" s="47"/>
    </row>
    <row r="2" ht="15.75" customHeight="1">
      <c r="G2" s="48" t="s">
        <v>411</v>
      </c>
      <c r="H2" s="48" t="s">
        <v>413</v>
      </c>
      <c r="I2" s="48" t="s">
        <v>414</v>
      </c>
      <c r="J2" s="48" t="s">
        <v>415</v>
      </c>
      <c r="K2" s="48" t="s">
        <v>416</v>
      </c>
      <c r="L2" s="48" t="s">
        <v>417</v>
      </c>
    </row>
    <row r="3" ht="15.75" customHeight="1">
      <c r="G3" s="5" t="s">
        <v>419</v>
      </c>
      <c r="H3" s="5">
        <v>487.23</v>
      </c>
      <c r="I3" s="5">
        <v>14.0</v>
      </c>
      <c r="J3" s="5">
        <v>34.802</v>
      </c>
      <c r="K3" s="5">
        <v>53.066</v>
      </c>
      <c r="L3" s="5" t="s">
        <v>420</v>
      </c>
    </row>
    <row r="4" ht="15.75" customHeight="1">
      <c r="G4" s="5" t="s">
        <v>422</v>
      </c>
      <c r="H4" s="5">
        <v>112.84</v>
      </c>
      <c r="I4" s="5">
        <v>1.0</v>
      </c>
      <c r="J4" s="5">
        <v>112.84</v>
      </c>
      <c r="K4" s="5">
        <v>172.056</v>
      </c>
      <c r="L4" s="5" t="s">
        <v>420</v>
      </c>
    </row>
    <row r="5" ht="15.75" customHeight="1">
      <c r="G5" s="5" t="s">
        <v>423</v>
      </c>
      <c r="H5" s="5">
        <v>98.32</v>
      </c>
      <c r="I5" s="5">
        <v>1.0</v>
      </c>
      <c r="J5" s="5">
        <v>98.32</v>
      </c>
      <c r="K5" s="5">
        <v>149.916</v>
      </c>
      <c r="L5" s="5" t="s">
        <v>420</v>
      </c>
    </row>
    <row r="6" ht="15.75" customHeight="1">
      <c r="G6" s="5" t="s">
        <v>425</v>
      </c>
      <c r="H6" s="5">
        <v>67.14</v>
      </c>
      <c r="I6" s="5">
        <v>1.0</v>
      </c>
      <c r="J6" s="5">
        <v>67.14</v>
      </c>
      <c r="K6" s="5">
        <v>102.374</v>
      </c>
      <c r="L6" s="5" t="s">
        <v>420</v>
      </c>
    </row>
    <row r="7" ht="15.75" customHeight="1">
      <c r="G7" s="5" t="s">
        <v>426</v>
      </c>
      <c r="H7" s="5">
        <v>54.21</v>
      </c>
      <c r="I7" s="5">
        <v>1.0</v>
      </c>
      <c r="J7" s="5">
        <v>54.21</v>
      </c>
      <c r="K7" s="5">
        <v>82.658</v>
      </c>
      <c r="L7" s="5" t="s">
        <v>420</v>
      </c>
    </row>
    <row r="8" ht="15.75" customHeight="1">
      <c r="G8" s="5" t="s">
        <v>428</v>
      </c>
      <c r="H8" s="5">
        <v>18.43</v>
      </c>
      <c r="I8" s="5">
        <v>1.0</v>
      </c>
      <c r="J8" s="5">
        <v>18.43</v>
      </c>
      <c r="K8" s="5">
        <v>28.102</v>
      </c>
      <c r="L8" s="5">
        <v>2.0E-4</v>
      </c>
    </row>
    <row r="9" ht="15.75" customHeight="1">
      <c r="G9" s="5" t="s">
        <v>429</v>
      </c>
      <c r="H9" s="5">
        <v>4.82</v>
      </c>
      <c r="I9" s="5">
        <v>1.0</v>
      </c>
      <c r="J9" s="5">
        <v>4.82</v>
      </c>
      <c r="K9" s="5">
        <v>7.349</v>
      </c>
      <c r="L9" s="5">
        <v>0.0189</v>
      </c>
    </row>
    <row r="10" ht="15.75" customHeight="1">
      <c r="G10" s="5" t="s">
        <v>430</v>
      </c>
      <c r="H10" s="5">
        <v>9.17</v>
      </c>
      <c r="I10" s="5">
        <v>1.0</v>
      </c>
      <c r="J10" s="5">
        <v>9.17</v>
      </c>
      <c r="K10" s="5">
        <v>13.982</v>
      </c>
      <c r="L10" s="5">
        <v>0.0028</v>
      </c>
    </row>
    <row r="11" ht="15.75" customHeight="1">
      <c r="G11" s="5" t="s">
        <v>432</v>
      </c>
      <c r="H11" s="5">
        <v>13.26</v>
      </c>
      <c r="I11" s="5">
        <v>1.0</v>
      </c>
      <c r="J11" s="5">
        <v>13.26</v>
      </c>
      <c r="K11" s="5">
        <v>20.223</v>
      </c>
      <c r="L11" s="5">
        <v>8.0E-4</v>
      </c>
    </row>
    <row r="12" ht="15.75" customHeight="1">
      <c r="G12" s="5" t="s">
        <v>435</v>
      </c>
      <c r="H12" s="5">
        <v>11.84</v>
      </c>
      <c r="I12" s="5">
        <v>1.0</v>
      </c>
      <c r="J12" s="5">
        <v>11.84</v>
      </c>
      <c r="K12" s="5">
        <v>18.055</v>
      </c>
      <c r="L12" s="5">
        <v>0.0011</v>
      </c>
    </row>
    <row r="13" ht="15.75" customHeight="1">
      <c r="G13" s="5" t="s">
        <v>439</v>
      </c>
      <c r="H13" s="5">
        <v>16.07</v>
      </c>
      <c r="I13" s="5">
        <v>1.0</v>
      </c>
      <c r="J13" s="5">
        <v>16.07</v>
      </c>
      <c r="K13" s="5">
        <v>24.509</v>
      </c>
      <c r="L13" s="5">
        <v>3.0E-4</v>
      </c>
    </row>
    <row r="14" ht="15.75" customHeight="1">
      <c r="G14" s="5" t="s">
        <v>440</v>
      </c>
      <c r="H14" s="5">
        <v>28.64</v>
      </c>
      <c r="I14" s="5">
        <v>1.0</v>
      </c>
      <c r="J14" s="5">
        <v>28.64</v>
      </c>
      <c r="K14" s="5">
        <v>43.67</v>
      </c>
      <c r="L14" s="5" t="s">
        <v>420</v>
      </c>
    </row>
    <row r="15" ht="15.75" customHeight="1">
      <c r="G15" s="5" t="s">
        <v>442</v>
      </c>
      <c r="H15" s="5">
        <v>21.08</v>
      </c>
      <c r="I15" s="5">
        <v>1.0</v>
      </c>
      <c r="J15" s="5">
        <v>21.08</v>
      </c>
      <c r="K15" s="5">
        <v>32.142</v>
      </c>
      <c r="L15" s="5">
        <v>1.0E-4</v>
      </c>
    </row>
    <row r="16" ht="15.75" customHeight="1">
      <c r="G16" s="5" t="s">
        <v>443</v>
      </c>
      <c r="H16" s="5">
        <v>14.58</v>
      </c>
      <c r="I16" s="5">
        <v>1.0</v>
      </c>
      <c r="J16" s="5">
        <v>14.58</v>
      </c>
      <c r="K16" s="5">
        <v>22.23</v>
      </c>
      <c r="L16" s="5">
        <v>5.0E-4</v>
      </c>
    </row>
    <row r="17" ht="15.75" customHeight="1">
      <c r="G17" s="5" t="s">
        <v>445</v>
      </c>
      <c r="H17" s="5">
        <v>16.83</v>
      </c>
      <c r="I17" s="5">
        <v>1.0</v>
      </c>
      <c r="J17" s="5">
        <v>16.83</v>
      </c>
      <c r="K17" s="5">
        <v>25.665</v>
      </c>
      <c r="L17" s="5">
        <v>3.0E-4</v>
      </c>
    </row>
    <row r="18" ht="15.75" customHeight="1">
      <c r="G18" s="5" t="s">
        <v>447</v>
      </c>
      <c r="H18" s="5">
        <v>7.87</v>
      </c>
      <c r="I18" s="5">
        <v>12.0</v>
      </c>
      <c r="J18" s="5">
        <v>0.656</v>
      </c>
      <c r="K18" s="5" t="s">
        <v>70</v>
      </c>
      <c r="L18" s="5" t="s">
        <v>70</v>
      </c>
    </row>
    <row r="19" ht="15.75" customHeight="1">
      <c r="G19" s="5" t="s">
        <v>449</v>
      </c>
      <c r="H19" s="5">
        <v>6.12</v>
      </c>
      <c r="I19" s="5">
        <v>9.0</v>
      </c>
      <c r="J19" s="5">
        <v>0.68</v>
      </c>
      <c r="K19" s="5">
        <v>1.166</v>
      </c>
      <c r="L19" s="5">
        <v>0.503</v>
      </c>
    </row>
    <row r="20" ht="15.75" customHeight="1">
      <c r="G20" s="5" t="s">
        <v>450</v>
      </c>
      <c r="H20" s="5">
        <v>1.75</v>
      </c>
      <c r="I20" s="5">
        <v>3.0</v>
      </c>
      <c r="J20" s="5">
        <v>0.583</v>
      </c>
      <c r="K20" s="5" t="s">
        <v>70</v>
      </c>
      <c r="L20" s="5" t="s">
        <v>70</v>
      </c>
    </row>
    <row r="21" ht="15.75" customHeight="1">
      <c r="G21" s="5" t="s">
        <v>85</v>
      </c>
      <c r="H21" s="5">
        <v>495.1</v>
      </c>
      <c r="I21" s="5">
        <v>26.0</v>
      </c>
      <c r="J21" s="5" t="s">
        <v>70</v>
      </c>
      <c r="K21" s="5" t="s">
        <v>70</v>
      </c>
      <c r="L21" s="5" t="s">
        <v>70</v>
      </c>
    </row>
    <row r="22" ht="15.75" customHeight="1">
      <c r="G22" s="50"/>
    </row>
    <row r="23" ht="15.75" customHeight="1">
      <c r="G23" s="9" t="s">
        <v>452</v>
      </c>
    </row>
    <row r="24" ht="15.75" customHeight="1"/>
    <row r="25" ht="15.75" customHeight="1"/>
    <row r="26" ht="15.75" customHeight="1"/>
    <row r="27" ht="15.75" customHeight="1">
      <c r="F27" s="19" t="s">
        <v>453</v>
      </c>
    </row>
    <row r="28" ht="15.75" customHeight="1"/>
    <row r="29" ht="15.75" customHeight="1"/>
    <row r="30" ht="15.75" customHeight="1"/>
    <row r="31" ht="15.75" customHeight="1">
      <c r="C31" s="1" t="s">
        <v>105</v>
      </c>
      <c r="D31" s="2"/>
      <c r="E31" s="2"/>
      <c r="F31" s="2"/>
      <c r="G31" s="2"/>
      <c r="H31" s="2"/>
    </row>
    <row r="32" ht="15.75" customHeight="1">
      <c r="C32" s="2"/>
      <c r="D32" s="2"/>
      <c r="E32" s="2"/>
      <c r="F32" s="2"/>
      <c r="G32" s="2"/>
      <c r="H32" s="2"/>
    </row>
    <row r="33" ht="15.75" customHeight="1">
      <c r="C33" s="1" t="s">
        <v>455</v>
      </c>
      <c r="D33" s="2"/>
      <c r="E33" s="2"/>
      <c r="F33" s="2"/>
      <c r="G33" s="2"/>
      <c r="H33" s="2"/>
    </row>
    <row r="34" ht="15.75" customHeight="1">
      <c r="C34" s="2"/>
      <c r="D34" s="2"/>
      <c r="E34" s="2"/>
      <c r="F34" s="2"/>
      <c r="G34" s="2"/>
      <c r="H34" s="2"/>
    </row>
    <row r="35" ht="15.75" customHeight="1">
      <c r="C35" s="7" t="s">
        <v>18</v>
      </c>
      <c r="D35" s="7" t="s">
        <v>96</v>
      </c>
      <c r="E35" s="7" t="s">
        <v>458</v>
      </c>
      <c r="F35" s="7" t="s">
        <v>459</v>
      </c>
      <c r="G35" s="7" t="s">
        <v>460</v>
      </c>
      <c r="H35" s="7" t="s">
        <v>462</v>
      </c>
      <c r="I35" s="51"/>
    </row>
    <row r="36" ht="15.75" customHeight="1">
      <c r="C36" s="5" t="s">
        <v>17</v>
      </c>
      <c r="D36" s="5" t="s">
        <v>158</v>
      </c>
      <c r="E36" s="5" t="s">
        <v>465</v>
      </c>
      <c r="F36" s="5" t="s">
        <v>215</v>
      </c>
      <c r="G36" s="5" t="s">
        <v>466</v>
      </c>
      <c r="H36" s="5" t="s">
        <v>132</v>
      </c>
      <c r="I36" s="51"/>
    </row>
    <row r="37" ht="15.75" customHeight="1">
      <c r="C37" s="5" t="s">
        <v>20</v>
      </c>
      <c r="D37" s="5" t="s">
        <v>158</v>
      </c>
      <c r="E37" s="5" t="s">
        <v>465</v>
      </c>
      <c r="F37" s="5" t="s">
        <v>215</v>
      </c>
      <c r="G37" s="5" t="s">
        <v>466</v>
      </c>
      <c r="H37" s="5" t="s">
        <v>133</v>
      </c>
      <c r="I37" s="51"/>
    </row>
    <row r="38" ht="15.75" customHeight="1">
      <c r="C38" s="5" t="s">
        <v>23</v>
      </c>
      <c r="D38" s="5" t="s">
        <v>158</v>
      </c>
      <c r="E38" s="5" t="s">
        <v>465</v>
      </c>
      <c r="F38" s="5" t="s">
        <v>215</v>
      </c>
      <c r="G38" s="5" t="s">
        <v>466</v>
      </c>
      <c r="H38" s="5" t="s">
        <v>234</v>
      </c>
      <c r="I38" s="51"/>
    </row>
    <row r="39" ht="15.75" customHeight="1">
      <c r="C39" s="5" t="s">
        <v>26</v>
      </c>
      <c r="D39" s="5" t="s">
        <v>158</v>
      </c>
      <c r="E39" s="5" t="s">
        <v>465</v>
      </c>
      <c r="F39" s="5" t="s">
        <v>215</v>
      </c>
      <c r="G39" s="5" t="s">
        <v>466</v>
      </c>
      <c r="H39" s="5" t="s">
        <v>135</v>
      </c>
      <c r="I39" s="51"/>
    </row>
    <row r="40" ht="15.75" customHeight="1">
      <c r="C40" s="2"/>
      <c r="D40" s="2"/>
      <c r="E40" s="2"/>
      <c r="F40" s="2"/>
      <c r="G40" s="2"/>
      <c r="H40" s="2"/>
    </row>
    <row r="41" ht="15.75" customHeight="1">
      <c r="C41" s="1" t="s">
        <v>476</v>
      </c>
      <c r="D41" s="2"/>
      <c r="E41" s="2"/>
      <c r="F41" s="2"/>
      <c r="G41" s="2"/>
      <c r="H41" s="2"/>
    </row>
    <row r="42" ht="15.75" customHeight="1">
      <c r="C42" s="2"/>
      <c r="D42" s="2"/>
      <c r="E42" s="2"/>
      <c r="F42" s="2"/>
      <c r="G42" s="2"/>
      <c r="H42" s="2"/>
    </row>
    <row r="43" ht="15.75" customHeight="1">
      <c r="C43" s="1" t="s">
        <v>478</v>
      </c>
      <c r="D43" s="2"/>
      <c r="E43" s="2"/>
      <c r="F43" s="2"/>
      <c r="G43" s="2"/>
      <c r="H43" s="2"/>
    </row>
    <row r="44" ht="15.75" customHeight="1"/>
    <row r="45" ht="15.75" customHeight="1">
      <c r="C45" s="1" t="s">
        <v>479</v>
      </c>
      <c r="D45" s="2"/>
      <c r="E45" s="2"/>
      <c r="F45" s="2"/>
      <c r="G45" s="2"/>
      <c r="H45" s="2"/>
    </row>
    <row r="46" ht="15.75" customHeight="1">
      <c r="C46" s="2"/>
      <c r="D46" s="2"/>
      <c r="E46" s="2"/>
      <c r="F46" s="2"/>
      <c r="G46" s="2"/>
      <c r="H46" s="2"/>
    </row>
    <row r="47" ht="15.75" customHeight="1">
      <c r="C47" s="1" t="s">
        <v>480</v>
      </c>
      <c r="D47" s="2"/>
      <c r="E47" s="2"/>
      <c r="F47" s="2"/>
      <c r="G47" s="2"/>
      <c r="H47" s="2"/>
    </row>
    <row r="48" ht="15.75" customHeight="1">
      <c r="C48" s="2"/>
      <c r="D48" s="2"/>
      <c r="E48" s="2"/>
      <c r="F48" s="2"/>
      <c r="G48" s="2"/>
      <c r="H48" s="2"/>
    </row>
    <row r="49" ht="15.75" customHeight="1">
      <c r="C49" s="1" t="s">
        <v>483</v>
      </c>
      <c r="D49" s="2"/>
      <c r="E49" s="2"/>
      <c r="F49" s="2"/>
      <c r="G49" s="2"/>
      <c r="H49" s="2"/>
    </row>
    <row r="50" ht="15.75" customHeight="1">
      <c r="C50" s="7" t="s">
        <v>411</v>
      </c>
      <c r="D50" s="7" t="s">
        <v>413</v>
      </c>
      <c r="E50" s="7" t="s">
        <v>414</v>
      </c>
      <c r="F50" s="7" t="s">
        <v>415</v>
      </c>
      <c r="G50" s="7" t="s">
        <v>416</v>
      </c>
      <c r="H50" s="7" t="s">
        <v>417</v>
      </c>
    </row>
    <row r="51" ht="15.75" customHeight="1">
      <c r="C51" s="5" t="s">
        <v>419</v>
      </c>
      <c r="D51" s="5">
        <v>645.57</v>
      </c>
      <c r="E51" s="5">
        <v>14.0</v>
      </c>
      <c r="F51" s="5">
        <v>46.112</v>
      </c>
      <c r="G51" s="5">
        <v>331.191</v>
      </c>
      <c r="H51" s="5" t="s">
        <v>420</v>
      </c>
    </row>
    <row r="52" ht="15.75" customHeight="1">
      <c r="C52" s="5" t="s">
        <v>422</v>
      </c>
      <c r="D52" s="5">
        <v>287.434</v>
      </c>
      <c r="E52" s="5">
        <v>1.0</v>
      </c>
      <c r="F52" s="5">
        <v>287.434</v>
      </c>
      <c r="G52" s="5">
        <v>2064.439</v>
      </c>
      <c r="H52" s="5" t="s">
        <v>420</v>
      </c>
    </row>
    <row r="53" ht="15.75" customHeight="1">
      <c r="C53" s="5" t="s">
        <v>490</v>
      </c>
      <c r="D53" s="5">
        <v>153.654</v>
      </c>
      <c r="E53" s="5">
        <v>1.0</v>
      </c>
      <c r="F53" s="5">
        <v>153.654</v>
      </c>
      <c r="G53" s="5">
        <v>1103.586</v>
      </c>
      <c r="H53" s="5" t="s">
        <v>420</v>
      </c>
    </row>
    <row r="54" ht="15.75" customHeight="1">
      <c r="C54" s="5" t="s">
        <v>425</v>
      </c>
      <c r="D54" s="5">
        <v>108.481</v>
      </c>
      <c r="E54" s="5">
        <v>1.0</v>
      </c>
      <c r="F54" s="5">
        <v>108.481</v>
      </c>
      <c r="G54" s="5">
        <v>779.139</v>
      </c>
      <c r="H54" s="5" t="s">
        <v>420</v>
      </c>
    </row>
    <row r="55" ht="15.75" customHeight="1">
      <c r="C55" s="5" t="s">
        <v>426</v>
      </c>
      <c r="D55" s="5">
        <v>85.493</v>
      </c>
      <c r="E55" s="5">
        <v>1.0</v>
      </c>
      <c r="F55" s="5">
        <v>85.493</v>
      </c>
      <c r="G55" s="5">
        <v>614.039</v>
      </c>
      <c r="H55" s="5" t="s">
        <v>420</v>
      </c>
    </row>
    <row r="56" ht="15.75" customHeight="1">
      <c r="C56" s="5" t="s">
        <v>428</v>
      </c>
      <c r="D56" s="5">
        <v>1.04</v>
      </c>
      <c r="E56" s="5">
        <v>1.0</v>
      </c>
      <c r="F56" s="5">
        <v>1.04</v>
      </c>
      <c r="G56" s="5">
        <v>7.472</v>
      </c>
      <c r="H56" s="5">
        <v>0.0181</v>
      </c>
    </row>
    <row r="57" ht="15.75" customHeight="1">
      <c r="C57" s="5" t="s">
        <v>429</v>
      </c>
      <c r="D57" s="5">
        <v>0.656</v>
      </c>
      <c r="E57" s="5">
        <v>1.0</v>
      </c>
      <c r="F57" s="5">
        <v>0.656</v>
      </c>
      <c r="G57" s="5">
        <v>4.712</v>
      </c>
      <c r="H57" s="5">
        <v>0.0507</v>
      </c>
    </row>
    <row r="58" ht="15.75" customHeight="1">
      <c r="C58" s="5" t="s">
        <v>432</v>
      </c>
      <c r="D58" s="5">
        <v>0.051</v>
      </c>
      <c r="E58" s="5">
        <v>1.0</v>
      </c>
      <c r="F58" s="5">
        <v>0.051</v>
      </c>
      <c r="G58" s="5">
        <v>0.364</v>
      </c>
      <c r="H58" s="5">
        <v>0.5577</v>
      </c>
    </row>
    <row r="59" ht="15.75" customHeight="1">
      <c r="C59" s="5" t="s">
        <v>430</v>
      </c>
      <c r="D59" s="5">
        <v>0.176</v>
      </c>
      <c r="E59" s="5">
        <v>1.0</v>
      </c>
      <c r="F59" s="5">
        <v>0.176</v>
      </c>
      <c r="G59" s="5">
        <v>1.267</v>
      </c>
      <c r="H59" s="5">
        <v>0.2823</v>
      </c>
    </row>
    <row r="60" ht="15.75" customHeight="1">
      <c r="C60" s="5" t="s">
        <v>435</v>
      </c>
      <c r="D60" s="5">
        <v>1.0E-4</v>
      </c>
      <c r="E60" s="5">
        <v>1.0</v>
      </c>
      <c r="F60" s="5">
        <v>1.0E-4</v>
      </c>
      <c r="G60" s="5">
        <v>7.0E-4</v>
      </c>
      <c r="H60" s="5">
        <v>0.979</v>
      </c>
    </row>
    <row r="61" ht="15.75" customHeight="1">
      <c r="C61" s="5" t="s">
        <v>439</v>
      </c>
      <c r="D61" s="5">
        <v>0.152</v>
      </c>
      <c r="E61" s="5">
        <v>1.0</v>
      </c>
      <c r="F61" s="5">
        <v>0.152</v>
      </c>
      <c r="G61" s="5">
        <v>1.092</v>
      </c>
      <c r="H61" s="5">
        <v>0.3165</v>
      </c>
    </row>
    <row r="62" ht="15.75" customHeight="1">
      <c r="C62" s="5" t="s">
        <v>440</v>
      </c>
      <c r="D62" s="5">
        <v>6.002</v>
      </c>
      <c r="E62" s="5">
        <v>1.0</v>
      </c>
      <c r="F62" s="5">
        <v>6.002</v>
      </c>
      <c r="G62" s="5">
        <v>43.108</v>
      </c>
      <c r="H62" s="5" t="s">
        <v>420</v>
      </c>
    </row>
    <row r="63" ht="15.75" customHeight="1">
      <c r="C63" s="5" t="s">
        <v>442</v>
      </c>
      <c r="D63" s="5">
        <v>4.51</v>
      </c>
      <c r="E63" s="5">
        <v>1.0</v>
      </c>
      <c r="F63" s="5">
        <v>4.51</v>
      </c>
      <c r="G63" s="5">
        <v>32.392</v>
      </c>
      <c r="H63" s="5">
        <v>1.0E-4</v>
      </c>
    </row>
    <row r="64" ht="15.75" customHeight="1">
      <c r="C64" s="5" t="s">
        <v>443</v>
      </c>
      <c r="D64" s="5">
        <v>0.69</v>
      </c>
      <c r="E64" s="5">
        <v>1.0</v>
      </c>
      <c r="F64" s="5">
        <v>0.69</v>
      </c>
      <c r="G64" s="5">
        <v>4.953</v>
      </c>
      <c r="H64" s="5">
        <v>0.046</v>
      </c>
    </row>
    <row r="65" ht="15.75" customHeight="1">
      <c r="C65" s="5" t="s">
        <v>445</v>
      </c>
      <c r="D65" s="5">
        <v>0.272</v>
      </c>
      <c r="E65" s="5">
        <v>1.0</v>
      </c>
      <c r="F65" s="5">
        <v>0.272</v>
      </c>
      <c r="G65" s="5">
        <v>1.954</v>
      </c>
      <c r="H65" s="5">
        <v>0.1875</v>
      </c>
    </row>
    <row r="66" ht="15.75" customHeight="1">
      <c r="C66" s="5" t="s">
        <v>447</v>
      </c>
      <c r="D66" s="5">
        <v>1.671</v>
      </c>
      <c r="E66" s="5">
        <v>12.0</v>
      </c>
      <c r="F66" s="5">
        <v>0.1392</v>
      </c>
      <c r="G66" s="5" t="s">
        <v>70</v>
      </c>
      <c r="H66" s="5" t="s">
        <v>70</v>
      </c>
    </row>
    <row r="67" ht="15.75" customHeight="1">
      <c r="C67" s="5" t="s">
        <v>511</v>
      </c>
      <c r="D67" s="5">
        <v>1.485</v>
      </c>
      <c r="E67" s="5">
        <v>10.0</v>
      </c>
      <c r="F67" s="5">
        <v>0.1485</v>
      </c>
      <c r="G67" s="5">
        <v>1.595</v>
      </c>
      <c r="H67" s="5">
        <v>0.4461</v>
      </c>
    </row>
    <row r="68" ht="15.75" customHeight="1">
      <c r="C68" s="5" t="s">
        <v>514</v>
      </c>
      <c r="D68" s="5">
        <v>0.186</v>
      </c>
      <c r="E68" s="5">
        <v>2.0</v>
      </c>
      <c r="F68" s="5">
        <v>0.0931</v>
      </c>
      <c r="G68" s="5" t="s">
        <v>70</v>
      </c>
      <c r="H68" s="5" t="s">
        <v>70</v>
      </c>
    </row>
    <row r="69" ht="15.75" customHeight="1">
      <c r="C69" s="5" t="s">
        <v>85</v>
      </c>
      <c r="D69" s="5">
        <v>647.241</v>
      </c>
      <c r="E69" s="5">
        <v>26.0</v>
      </c>
      <c r="F69" s="5" t="s">
        <v>70</v>
      </c>
      <c r="G69" s="5" t="s">
        <v>70</v>
      </c>
      <c r="H69" s="5" t="s">
        <v>70</v>
      </c>
    </row>
    <row r="70" ht="15.75" customHeight="1"/>
    <row r="71" ht="15.75" customHeight="1"/>
    <row r="72" ht="15.75" customHeight="1">
      <c r="C72" s="1" t="s">
        <v>520</v>
      </c>
    </row>
    <row r="73" ht="15.75" customHeight="1">
      <c r="C73" s="2"/>
    </row>
    <row r="74" ht="15.75" customHeight="1">
      <c r="C74" s="1" t="s">
        <v>522</v>
      </c>
    </row>
    <row r="75" ht="15.75" customHeight="1">
      <c r="C75" s="2"/>
    </row>
    <row r="76" ht="15.75" customHeight="1">
      <c r="C76" s="1" t="s">
        <v>300</v>
      </c>
    </row>
    <row r="77" ht="15.75" customHeight="1">
      <c r="C77" s="1" t="s">
        <v>524</v>
      </c>
    </row>
    <row r="78" ht="15.75" customHeight="1">
      <c r="C78" s="2"/>
    </row>
    <row r="79" ht="15.75" customHeight="1">
      <c r="C79" s="1" t="s">
        <v>526</v>
      </c>
    </row>
    <row r="80" ht="15.75" customHeight="1">
      <c r="C80" s="2"/>
    </row>
    <row r="81" ht="15.75" customHeight="1">
      <c r="C81" s="1" t="s">
        <v>528</v>
      </c>
    </row>
    <row r="82" ht="15.75" customHeight="1">
      <c r="C82" s="2"/>
    </row>
    <row r="83" ht="15.75" customHeight="1">
      <c r="C83" s="1" t="s">
        <v>529</v>
      </c>
    </row>
    <row r="84" ht="15.75" customHeight="1">
      <c r="C84" s="1" t="s">
        <v>531</v>
      </c>
    </row>
    <row r="85" ht="15.75" customHeight="1">
      <c r="C85" s="2"/>
    </row>
    <row r="86" ht="15.75" customHeight="1">
      <c r="C86" s="1" t="s">
        <v>533</v>
      </c>
    </row>
    <row r="87" ht="15.75" customHeight="1">
      <c r="C87" s="2"/>
    </row>
    <row r="88" ht="15.75" customHeight="1">
      <c r="C88" s="1" t="s">
        <v>534</v>
      </c>
    </row>
    <row r="89" ht="15.75" customHeight="1">
      <c r="C89" s="2"/>
    </row>
    <row r="90" ht="15.75" customHeight="1">
      <c r="C90" s="1" t="s">
        <v>536</v>
      </c>
    </row>
    <row r="91" ht="15.75" customHeight="1">
      <c r="C91" s="2"/>
    </row>
    <row r="92" ht="15.75" customHeight="1">
      <c r="C92" s="1" t="s">
        <v>539</v>
      </c>
    </row>
    <row r="93" ht="15.75" customHeight="1">
      <c r="C93" s="2"/>
    </row>
    <row r="94" ht="15.75" customHeight="1">
      <c r="C94" s="1" t="s">
        <v>540</v>
      </c>
    </row>
    <row r="95" ht="15.75" customHeight="1">
      <c r="C95" s="2"/>
    </row>
    <row r="96" ht="15.75" customHeight="1">
      <c r="C96" s="1" t="s">
        <v>533</v>
      </c>
    </row>
    <row r="97" ht="15.75" customHeight="1">
      <c r="C97" s="2"/>
    </row>
    <row r="98" ht="15.75" customHeight="1">
      <c r="C98" s="1" t="s">
        <v>542</v>
      </c>
    </row>
    <row r="99" ht="15.75" customHeight="1">
      <c r="C99" s="2"/>
    </row>
    <row r="100" ht="15.75" customHeight="1">
      <c r="C100" s="1" t="s">
        <v>544</v>
      </c>
    </row>
    <row r="101" ht="15.75" customHeight="1">
      <c r="C101" s="2"/>
    </row>
    <row r="102" ht="15.75" customHeight="1">
      <c r="C102" s="1" t="s">
        <v>546</v>
      </c>
    </row>
    <row r="103" ht="15.75" customHeight="1">
      <c r="C103" s="1" t="s">
        <v>548</v>
      </c>
    </row>
    <row r="104" ht="15.75" customHeight="1">
      <c r="C104" s="2"/>
    </row>
    <row r="105" ht="15.75" customHeight="1">
      <c r="C105" s="1" t="s">
        <v>533</v>
      </c>
    </row>
    <row r="106" ht="15.75" customHeight="1">
      <c r="C106" s="2"/>
    </row>
    <row r="107" ht="15.75" customHeight="1">
      <c r="C107" s="1" t="s">
        <v>551</v>
      </c>
    </row>
    <row r="108" ht="15.75" customHeight="1">
      <c r="C108" s="2"/>
    </row>
    <row r="109" ht="15.75" customHeight="1">
      <c r="C109" s="1" t="s">
        <v>552</v>
      </c>
    </row>
    <row r="110" ht="15.75" customHeight="1">
      <c r="C110" s="2"/>
    </row>
    <row r="111" ht="15.75" customHeight="1">
      <c r="C111" s="1" t="s">
        <v>553</v>
      </c>
    </row>
    <row r="112" ht="15.75" customHeight="1">
      <c r="C112" s="2"/>
    </row>
    <row r="113" ht="15.75" customHeight="1">
      <c r="C113" s="1" t="s">
        <v>554</v>
      </c>
    </row>
    <row r="114" ht="15.75" customHeight="1">
      <c r="C114" s="2"/>
    </row>
    <row r="115" ht="15.75" customHeight="1">
      <c r="C115" s="1" t="s">
        <v>555</v>
      </c>
    </row>
    <row r="116" ht="15.75" customHeight="1">
      <c r="C116" s="2"/>
    </row>
    <row r="117" ht="15.75" customHeight="1">
      <c r="C117" s="1" t="s">
        <v>533</v>
      </c>
    </row>
    <row r="118" ht="15.75" customHeight="1">
      <c r="C118" s="2"/>
    </row>
    <row r="119" ht="15.75" customHeight="1">
      <c r="C119" s="1" t="s">
        <v>556</v>
      </c>
    </row>
    <row r="120" ht="15.75" customHeight="1">
      <c r="C120" s="2"/>
    </row>
    <row r="121" ht="15.75" customHeight="1">
      <c r="C121" s="1" t="s">
        <v>557</v>
      </c>
    </row>
    <row r="122" ht="15.75" customHeight="1"/>
    <row r="123" ht="15.75" customHeight="1"/>
    <row r="124" ht="15.75" customHeight="1">
      <c r="C124" s="1" t="s">
        <v>558</v>
      </c>
    </row>
    <row r="125" ht="15.75" customHeight="1">
      <c r="C125" s="2"/>
    </row>
    <row r="126" ht="15.75" customHeight="1">
      <c r="C126" s="1" t="s">
        <v>559</v>
      </c>
    </row>
    <row r="127" ht="15.75" customHeight="1">
      <c r="C127" s="2"/>
    </row>
    <row r="128" ht="15.75" customHeight="1">
      <c r="C128" s="1" t="s">
        <v>560</v>
      </c>
    </row>
    <row r="129" ht="15.75" customHeight="1">
      <c r="C129" s="2"/>
    </row>
    <row r="130" ht="15.75" customHeight="1">
      <c r="C130" s="1" t="s">
        <v>561</v>
      </c>
    </row>
    <row r="131" ht="15.75" customHeight="1">
      <c r="C131" s="2"/>
    </row>
    <row r="132" ht="15.75" customHeight="1">
      <c r="C132" s="1" t="s">
        <v>562</v>
      </c>
    </row>
    <row r="133" ht="15.75" customHeight="1"/>
    <row r="134" ht="15.75" customHeight="1"/>
    <row r="135" ht="15.75" customHeight="1"/>
    <row r="136" ht="15.75" customHeight="1">
      <c r="C136" s="9" t="s">
        <v>563</v>
      </c>
    </row>
    <row r="137" ht="15.75" customHeight="1"/>
    <row r="138" ht="15.75" customHeight="1">
      <c r="C138" s="9" t="s">
        <v>564</v>
      </c>
    </row>
    <row r="139" ht="15.75" customHeight="1"/>
    <row r="140" ht="15.75" customHeight="1">
      <c r="C140" s="9" t="s">
        <v>565</v>
      </c>
    </row>
    <row r="141" ht="15.75" customHeight="1"/>
    <row r="142" ht="15.75" customHeight="1">
      <c r="C142" s="8" t="s">
        <v>566</v>
      </c>
      <c r="D142" s="8" t="s">
        <v>567</v>
      </c>
    </row>
    <row r="143" ht="15.75" customHeight="1">
      <c r="C143" s="9" t="s">
        <v>300</v>
      </c>
      <c r="D143" s="9">
        <v>0.99465</v>
      </c>
    </row>
    <row r="144" ht="15.75" customHeight="1">
      <c r="C144" s="9" t="s">
        <v>529</v>
      </c>
      <c r="D144" s="9">
        <v>0.99268</v>
      </c>
    </row>
    <row r="145" ht="15.75" customHeight="1">
      <c r="C145" s="9" t="s">
        <v>536</v>
      </c>
      <c r="D145" s="9">
        <v>0.98543</v>
      </c>
    </row>
    <row r="146" ht="15.75" customHeight="1">
      <c r="C146" s="9" t="s">
        <v>568</v>
      </c>
      <c r="D146" s="9">
        <v>0.18227</v>
      </c>
    </row>
    <row r="147" ht="15.75" customHeight="1"/>
    <row r="148" ht="15.75" customHeight="1">
      <c r="C148" s="9" t="s">
        <v>569</v>
      </c>
    </row>
    <row r="149" ht="15.75" customHeight="1"/>
    <row r="150" ht="15.75" customHeight="1"/>
    <row r="151" ht="15.75" customHeight="1">
      <c r="C151" s="9" t="s">
        <v>570</v>
      </c>
    </row>
    <row r="152" ht="15.75" customHeight="1"/>
    <row r="153" ht="15.75" customHeight="1">
      <c r="C153" s="9" t="s">
        <v>571</v>
      </c>
    </row>
    <row r="154" ht="15.75" customHeight="1">
      <c r="C154" s="9" t="s">
        <v>572</v>
      </c>
    </row>
    <row r="155" ht="15.75" customHeight="1">
      <c r="C155" s="18"/>
    </row>
    <row r="156" ht="15.75" customHeight="1">
      <c r="C156" s="17" t="s">
        <v>573</v>
      </c>
    </row>
    <row r="157" ht="15.75" customHeight="1">
      <c r="C157" s="18"/>
    </row>
    <row r="158" ht="15.75" customHeight="1">
      <c r="C158" s="17" t="s">
        <v>574</v>
      </c>
    </row>
    <row r="159" ht="15.75" customHeight="1">
      <c r="C159" s="18"/>
    </row>
    <row r="160" ht="15.75" customHeight="1">
      <c r="C160" s="17" t="s">
        <v>575</v>
      </c>
    </row>
    <row r="161" ht="15.75" customHeight="1">
      <c r="C161" s="18"/>
    </row>
    <row r="162" ht="15.75" customHeight="1">
      <c r="C162" s="17" t="s">
        <v>109</v>
      </c>
    </row>
    <row r="163" ht="15.75" customHeight="1">
      <c r="C163" s="18"/>
    </row>
    <row r="164" ht="15.75" customHeight="1">
      <c r="C164" s="17" t="s">
        <v>576</v>
      </c>
    </row>
    <row r="165" ht="15.75" customHeight="1">
      <c r="C165" s="18"/>
    </row>
    <row r="166" ht="15.75" customHeight="1">
      <c r="C166" s="17" t="s">
        <v>577</v>
      </c>
    </row>
    <row r="167" ht="15.75" customHeight="1">
      <c r="C167" s="18"/>
    </row>
    <row r="168" ht="15.75" customHeight="1">
      <c r="C168" s="17" t="s">
        <v>109</v>
      </c>
    </row>
    <row r="169" ht="15.75" customHeight="1">
      <c r="C169" s="18"/>
    </row>
    <row r="170" ht="15.75" customHeight="1">
      <c r="C170" s="17" t="s">
        <v>578</v>
      </c>
    </row>
    <row r="171" ht="15.75" customHeight="1">
      <c r="C171" s="18"/>
    </row>
    <row r="172" ht="15.75" customHeight="1">
      <c r="C172" s="17" t="s">
        <v>579</v>
      </c>
    </row>
    <row r="173" ht="15.75" customHeight="1">
      <c r="C173" s="18"/>
    </row>
    <row r="174" ht="15.75" customHeight="1">
      <c r="C174" s="17" t="s">
        <v>580</v>
      </c>
    </row>
    <row r="175" ht="15.75" customHeight="1">
      <c r="C175" s="18"/>
    </row>
    <row r="176" ht="15.75" customHeight="1">
      <c r="C176" s="17" t="s">
        <v>109</v>
      </c>
    </row>
    <row r="177" ht="15.75" customHeight="1">
      <c r="C177" s="18"/>
    </row>
    <row r="178" ht="15.75" customHeight="1">
      <c r="C178" s="17" t="s">
        <v>581</v>
      </c>
    </row>
    <row r="179" ht="15.75" customHeight="1">
      <c r="C179" s="18"/>
    </row>
    <row r="180" ht="15.75" customHeight="1">
      <c r="C180" s="17" t="s">
        <v>582</v>
      </c>
    </row>
    <row r="181" ht="15.75" customHeight="1">
      <c r="C181" s="18"/>
    </row>
    <row r="182" ht="15.75" customHeight="1">
      <c r="C182" s="17" t="s">
        <v>583</v>
      </c>
    </row>
    <row r="183" ht="15.75" customHeight="1">
      <c r="C183" s="18"/>
    </row>
    <row r="184" ht="15.75" customHeight="1">
      <c r="C184" s="17" t="s">
        <v>109</v>
      </c>
    </row>
    <row r="185" ht="15.75" customHeight="1">
      <c r="C185" s="18"/>
    </row>
    <row r="186" ht="15.75" customHeight="1">
      <c r="C186" s="17" t="s">
        <v>584</v>
      </c>
    </row>
    <row r="187" ht="15.75" customHeight="1">
      <c r="C187" s="18"/>
    </row>
    <row r="188" ht="15.75" customHeight="1">
      <c r="C188" s="17" t="s">
        <v>585</v>
      </c>
    </row>
    <row r="189" ht="15.75" customHeight="1">
      <c r="C189" s="18"/>
    </row>
    <row r="190" ht="15.75" customHeight="1">
      <c r="C190" s="17" t="s">
        <v>586</v>
      </c>
    </row>
    <row r="191" ht="15.75" customHeight="1">
      <c r="C191" s="18"/>
    </row>
    <row r="192" ht="15.75" customHeight="1">
      <c r="C192" s="52">
        <v>0.948</v>
      </c>
    </row>
    <row r="193" ht="15.75" customHeight="1">
      <c r="C193" s="18"/>
    </row>
    <row r="194" ht="15.75" customHeight="1">
      <c r="C194" s="17" t="s">
        <v>109</v>
      </c>
    </row>
    <row r="195" ht="15.75" customHeight="1">
      <c r="C195" s="18"/>
    </row>
    <row r="196" ht="15.75" customHeight="1">
      <c r="C196" s="17" t="s">
        <v>587</v>
      </c>
    </row>
    <row r="197" ht="15.75" customHeight="1">
      <c r="C197" s="18"/>
    </row>
    <row r="198" ht="15.75" customHeight="1">
      <c r="C198" s="17" t="s">
        <v>117</v>
      </c>
    </row>
    <row r="199" ht="15.75" customHeight="1"/>
    <row r="200" ht="15.75" customHeight="1"/>
    <row r="201" ht="15.75" customHeight="1"/>
    <row r="202" ht="15.75" customHeight="1">
      <c r="C202" s="1" t="s">
        <v>588</v>
      </c>
    </row>
    <row r="203" ht="15.75" customHeight="1">
      <c r="C203" s="2"/>
    </row>
    <row r="204" ht="15.75" customHeight="1">
      <c r="C204" s="1" t="s">
        <v>589</v>
      </c>
    </row>
    <row r="205" ht="15.75" customHeight="1">
      <c r="C205" s="2"/>
    </row>
    <row r="206" ht="15.75" customHeight="1">
      <c r="C206" s="1" t="s">
        <v>590</v>
      </c>
    </row>
    <row r="207" ht="15.75" customHeight="1">
      <c r="C207" s="2"/>
    </row>
    <row r="208" ht="15.75" customHeight="1">
      <c r="C208" s="1" t="s">
        <v>591</v>
      </c>
    </row>
    <row r="209" ht="15.75" customHeight="1">
      <c r="C209" s="2"/>
    </row>
    <row r="210" ht="15.75" customHeight="1">
      <c r="C210" s="1" t="s">
        <v>592</v>
      </c>
    </row>
    <row r="211" ht="15.75" customHeight="1">
      <c r="C211" s="2"/>
    </row>
    <row r="212" ht="15.75" customHeight="1">
      <c r="C212" s="1" t="s">
        <v>593</v>
      </c>
    </row>
    <row r="213" ht="15.75" customHeight="1">
      <c r="C213" s="2"/>
    </row>
    <row r="214" ht="15.75" customHeight="1">
      <c r="C214" s="1" t="s">
        <v>594</v>
      </c>
    </row>
    <row r="215" ht="15.75" customHeight="1">
      <c r="C215" s="2"/>
    </row>
    <row r="216" ht="15.75" customHeight="1">
      <c r="C216" s="1" t="s">
        <v>595</v>
      </c>
    </row>
    <row r="217" ht="15.75" customHeight="1">
      <c r="C217" s="2"/>
    </row>
    <row r="218" ht="15.75" customHeight="1">
      <c r="C218" s="1" t="s">
        <v>596</v>
      </c>
    </row>
    <row r="219" ht="15.75" customHeight="1">
      <c r="C219" s="2"/>
    </row>
    <row r="220" ht="15.75" customHeight="1">
      <c r="C220" s="1" t="s">
        <v>597</v>
      </c>
    </row>
    <row r="221" ht="15.75" customHeight="1">
      <c r="C221" s="2"/>
    </row>
    <row r="222" ht="15.75" customHeight="1">
      <c r="C222" s="1" t="s">
        <v>598</v>
      </c>
    </row>
    <row r="223" ht="15.75" customHeight="1">
      <c r="C223" s="2"/>
    </row>
    <row r="224" ht="15.75" customHeight="1">
      <c r="C224" s="1" t="s">
        <v>599</v>
      </c>
    </row>
    <row r="225" ht="15.75" customHeight="1">
      <c r="C225" s="2"/>
    </row>
    <row r="226" ht="15.75" customHeight="1">
      <c r="C226" s="1" t="s">
        <v>600</v>
      </c>
    </row>
    <row r="227" ht="15.75" customHeight="1">
      <c r="C227" s="2"/>
    </row>
    <row r="228" ht="15.75" customHeight="1">
      <c r="C228" s="1" t="s">
        <v>601</v>
      </c>
    </row>
    <row r="229" ht="15.75" customHeight="1">
      <c r="C229" s="2"/>
    </row>
    <row r="230" ht="15.75" customHeight="1">
      <c r="C230" s="1" t="s">
        <v>602</v>
      </c>
    </row>
    <row r="231" ht="15.75" customHeight="1">
      <c r="C231" s="2"/>
    </row>
    <row r="232" ht="15.75" customHeight="1">
      <c r="C232" s="1" t="s">
        <v>603</v>
      </c>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sheetData>
  <mergeCells count="3">
    <mergeCell ref="G1:L1"/>
    <mergeCell ref="G22:L22"/>
    <mergeCell ref="F27:R27"/>
  </mergeCells>
  <printOptions/>
  <pageMargins bottom="1.0" footer="0.0" header="0.0" left="0.75" right="0.75" top="1.0"/>
  <pageSetup orientation="landscape"/>
  <drawing r:id="rId1"/>
</worksheet>
</file>